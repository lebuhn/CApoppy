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codeName="ThisWorkbook"/>
  <mc:AlternateContent xmlns:mc="http://schemas.openxmlformats.org/markup-compatibility/2006">
    <mc:Choice Requires="x15">
      <x15ac:absPath xmlns:x15ac="http://schemas.microsoft.com/office/spreadsheetml/2010/11/ac" url="/Users/gretchen/GitHub/CApoppy/data/raw/porometer/Petal_2025_low 11/2025-09-12/"/>
    </mc:Choice>
  </mc:AlternateContent>
  <xr:revisionPtr revIDLastSave="0" documentId="13_ncr:1_{F5C38B10-81A5-1947-95E5-7454DDFA342A}" xr6:coauthVersionLast="47" xr6:coauthVersionMax="47" xr10:uidLastSave="{00000000-0000-0000-0000-000000000000}"/>
  <bookViews>
    <workbookView xWindow="1000" yWindow="760" windowWidth="33560" windowHeight="21580" xr2:uid="{00000000-000D-0000-FFFF-FFFF00000000}"/>
  </bookViews>
  <sheets>
    <sheet name="Petal_2025_l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6" i="1" l="1"/>
  <c r="U16" i="1"/>
  <c r="Q16" i="1"/>
  <c r="P16" i="1"/>
  <c r="T16" i="1" s="1"/>
  <c r="M16" i="1"/>
  <c r="L16" i="1" s="1"/>
  <c r="J16" i="1" s="1"/>
  <c r="K16" i="1"/>
  <c r="AA15" i="1"/>
  <c r="P15" i="1" s="1"/>
  <c r="U15" i="1"/>
  <c r="M15" i="1"/>
  <c r="K15" i="1"/>
  <c r="AA14" i="1"/>
  <c r="P14" i="1" s="1"/>
  <c r="U14" i="1"/>
  <c r="M14" i="1"/>
  <c r="K14" i="1"/>
  <c r="AA13" i="1"/>
  <c r="P13" i="1" s="1"/>
  <c r="U13" i="1"/>
  <c r="M13" i="1" s="1"/>
  <c r="K13" i="1"/>
  <c r="AA12" i="1"/>
  <c r="P12" i="1" s="1"/>
  <c r="U12" i="1"/>
  <c r="M12" i="1" s="1"/>
  <c r="K12" i="1"/>
  <c r="AA11" i="1"/>
  <c r="P11" i="1" s="1"/>
  <c r="U11" i="1"/>
  <c r="M11" i="1" s="1"/>
  <c r="K11" i="1"/>
  <c r="AA10" i="1"/>
  <c r="P10" i="1" s="1"/>
  <c r="U10" i="1"/>
  <c r="M10" i="1" s="1"/>
  <c r="K10" i="1"/>
  <c r="AA9" i="1"/>
  <c r="U9" i="1"/>
  <c r="M9" i="1" s="1"/>
  <c r="L9" i="1" s="1"/>
  <c r="J9" i="1" s="1"/>
  <c r="T9" i="1"/>
  <c r="Q9" i="1"/>
  <c r="P9" i="1"/>
  <c r="K9" i="1"/>
  <c r="AA8" i="1"/>
  <c r="U8" i="1"/>
  <c r="P8" i="1"/>
  <c r="T8" i="1" s="1"/>
  <c r="M8" i="1"/>
  <c r="L8" i="1" s="1"/>
  <c r="J8" i="1" s="1"/>
  <c r="K8" i="1"/>
  <c r="AA7" i="1"/>
  <c r="U7" i="1"/>
  <c r="P7" i="1"/>
  <c r="T7" i="1" s="1"/>
  <c r="M7" i="1"/>
  <c r="L7" i="1" s="1"/>
  <c r="J7" i="1" s="1"/>
  <c r="K7" i="1"/>
  <c r="AA6" i="1"/>
  <c r="U6" i="1"/>
  <c r="P6" i="1"/>
  <c r="Q6" i="1" s="1"/>
  <c r="M6" i="1"/>
  <c r="K6" i="1"/>
  <c r="AA5" i="1"/>
  <c r="U5" i="1"/>
  <c r="P5" i="1"/>
  <c r="T5" i="1" s="1"/>
  <c r="L5" i="1" s="1"/>
  <c r="J5" i="1" s="1"/>
  <c r="M5" i="1"/>
  <c r="K5" i="1"/>
  <c r="AA4" i="1"/>
  <c r="U4" i="1"/>
  <c r="P4" i="1"/>
  <c r="Q4" i="1" s="1"/>
  <c r="M4" i="1"/>
  <c r="K4" i="1"/>
  <c r="T15" i="1" l="1"/>
  <c r="L15" i="1" s="1"/>
  <c r="J15" i="1" s="1"/>
  <c r="Q15" i="1"/>
  <c r="T11" i="1"/>
  <c r="Q11" i="1"/>
  <c r="T12" i="1"/>
  <c r="L12" i="1" s="1"/>
  <c r="J12" i="1" s="1"/>
  <c r="Q12" i="1"/>
  <c r="Q13" i="1"/>
  <c r="T13" i="1"/>
  <c r="L13" i="1" s="1"/>
  <c r="J13" i="1" s="1"/>
  <c r="T10" i="1"/>
  <c r="L10" i="1" s="1"/>
  <c r="J10" i="1" s="1"/>
  <c r="Q10" i="1"/>
  <c r="L11" i="1"/>
  <c r="J11" i="1" s="1"/>
  <c r="T14" i="1"/>
  <c r="L14" i="1" s="1"/>
  <c r="J14" i="1" s="1"/>
  <c r="Q14" i="1"/>
  <c r="Q8" i="1"/>
  <c r="Q7" i="1"/>
  <c r="T4" i="1"/>
  <c r="L4" i="1" s="1"/>
  <c r="J4" i="1" s="1"/>
  <c r="Q5" i="1"/>
  <c r="T6" i="1"/>
  <c r="L6" i="1" s="1"/>
  <c r="J6" i="1" s="1"/>
</calcChain>
</file>

<file path=xl/sharedStrings.xml><?xml version="1.0" encoding="utf-8"?>
<sst xmlns="http://schemas.openxmlformats.org/spreadsheetml/2006/main" count="1179" uniqueCount="477">
  <si>
    <t>SYS</t>
  </si>
  <si>
    <t>USERDEF</t>
  </si>
  <si>
    <t>PORO</t>
  </si>
  <si>
    <t>SENSOR</t>
  </si>
  <si>
    <t>MATCH</t>
  </si>
  <si>
    <t>STABILITY</t>
  </si>
  <si>
    <t>P_CONFIG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</si>
  <si>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</si>
  <si>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</si>
  <si>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</si>
  <si>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</si>
  <si>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</si>
  <si>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</si>
  <si>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</si>
  <si>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</si>
  <si>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</si>
  <si>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Population</t>
  </si>
  <si>
    <t>Plant</t>
  </si>
  <si>
    <t>Top or bottom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</si>
  <si>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</si>
  <si>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</si>
  <si>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</si>
  <si>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</si>
  <si>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</si>
  <si>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</si>
  <si>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</si>
  <si>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</si>
  <si>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</si>
  <si>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</si>
  <si>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</si>
  <si>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</si>
  <si>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</si>
  <si>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</si>
  <si>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</si>
  <si>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</si>
  <si>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</si>
  <si>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</si>
  <si>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</si>
  <si>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</si>
  <si>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</si>
  <si>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</si>
  <si>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</si>
  <si>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</si>
  <si>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</si>
  <si>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</si>
  <si>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</si>
  <si>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</si>
  <si>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</si>
  <si>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</si>
  <si>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</si>
  <si>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</si>
  <si>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</si>
  <si>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</si>
  <si>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</si>
  <si>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</si>
  <si>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</si>
  <si>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</si>
  <si>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</si>
  <si>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</si>
  <si>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</si>
  <si>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</si>
  <si>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</si>
  <si>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</si>
  <si>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</si>
  <si>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</si>
  <si>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</si>
  <si>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</si>
  <si>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</si>
  <si>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</si>
  <si>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</si>
  <si>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</si>
  <si>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</si>
  <si>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</si>
  <si>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</si>
  <si>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</si>
  <si>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</si>
  <si>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</si>
  <si>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</si>
  <si>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</si>
  <si>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</si>
  <si>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</si>
  <si>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</si>
  <si>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</si>
  <si>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</si>
  <si>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</si>
  <si>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</si>
  <si>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</si>
  <si>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</si>
  <si>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</si>
  <si>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</si>
  <si>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</si>
  <si>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/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</si>
  <si>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</si>
  <si>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</si>
  <si>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</si>
  <si>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</si>
  <si>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</si>
  <si>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</si>
  <si>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</si>
  <si>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</si>
  <si>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%</t>
  </si>
  <si>
    <t>C</t>
  </si>
  <si>
    <t>umol+1sec-1</t>
  </si>
  <si>
    <t>umol+1m-2s-1</t>
  </si>
  <si>
    <t>V</t>
  </si>
  <si>
    <t>(umol+1m-2s-1)s-1</t>
  </si>
  <si>
    <t>s</t>
  </si>
  <si>
    <t>A</t>
  </si>
  <si>
    <t>1</t>
  </si>
  <si>
    <t>13:11:02</t>
  </si>
  <si>
    <t>2025-09-12</t>
  </si>
  <si>
    <t>Petal_2025_low</t>
  </si>
  <si>
    <t>glb and ks</t>
  </si>
  <si>
    <t>001</t>
  </si>
  <si>
    <t>1.416723</t>
  </si>
  <si>
    <t>1.416204</t>
  </si>
  <si>
    <t>13.996431</t>
  </si>
  <si>
    <t>14.001554</t>
  </si>
  <si>
    <t>7.500000</t>
  </si>
  <si>
    <t>51.89</t>
  </si>
  <si>
    <t>51.87</t>
  </si>
  <si>
    <t>22.47</t>
  </si>
  <si>
    <t>30.41</t>
  </si>
  <si>
    <t>101.18</t>
  </si>
  <si>
    <t>79.6</t>
  </si>
  <si>
    <t>79.8</t>
  </si>
  <si>
    <t>-0.3</t>
  </si>
  <si>
    <t>4.045</t>
  </si>
  <si>
    <t>13:10:40</t>
  </si>
  <si>
    <t>-0.43</t>
  </si>
  <si>
    <t>0.000</t>
  </si>
  <si>
    <t>-0.001</t>
  </si>
  <si>
    <t>-0.003</t>
  </si>
  <si>
    <t>-0.013</t>
  </si>
  <si>
    <t>-0.024</t>
  </si>
  <si>
    <t>-0.052</t>
  </si>
  <si>
    <t>75</t>
  </si>
  <si>
    <t>0.001</t>
  </si>
  <si>
    <t>2.000000</t>
  </si>
  <si>
    <t>0.058905</t>
  </si>
  <si>
    <t>0.000000</t>
  </si>
  <si>
    <t>0.029230</t>
  </si>
  <si>
    <t>-0.000068</t>
  </si>
  <si>
    <t>standard</t>
  </si>
  <si>
    <t>2.483796</t>
  </si>
  <si>
    <t>2.522277</t>
  </si>
  <si>
    <t>1.060636</t>
  </si>
  <si>
    <t>0.757651</t>
  </si>
  <si>
    <t>0.301787</t>
  </si>
  <si>
    <t>0.096627</t>
  </si>
  <si>
    <t>0.049247</t>
  </si>
  <si>
    <t>0.107784</t>
  </si>
  <si>
    <t>41.868210</t>
  </si>
  <si>
    <t>0.000141</t>
  </si>
  <si>
    <t>2.400461</t>
  </si>
  <si>
    <t>-0.000053</t>
  </si>
  <si>
    <t>1.000000</t>
  </si>
  <si>
    <t>2.435166</t>
  </si>
  <si>
    <t>-0.000058</t>
  </si>
  <si>
    <t>0.601058</t>
  </si>
  <si>
    <t>0.603298</t>
  </si>
  <si>
    <t>0.107219</t>
  </si>
  <si>
    <t>PFA-00225</t>
  </si>
  <si>
    <t>PSA-00237</t>
  </si>
  <si>
    <t>RHS-00303</t>
  </si>
  <si>
    <t>3.0.0</t>
  </si>
  <si>
    <t>2025-04-17T20:38:22.057Z</t>
  </si>
  <si>
    <t>14:35:07</t>
  </si>
  <si>
    <t>Bottom</t>
  </si>
  <si>
    <t>1.848877</t>
  </si>
  <si>
    <t>1.838633</t>
  </si>
  <si>
    <t>18.215332</t>
  </si>
  <si>
    <t>18.316816</t>
  </si>
  <si>
    <t>41.52</t>
  </si>
  <si>
    <t>41.29</t>
  </si>
  <si>
    <t>30.77</t>
  </si>
  <si>
    <t>28.27</t>
  </si>
  <si>
    <t>100.94</t>
  </si>
  <si>
    <t>80.3</t>
  </si>
  <si>
    <t>79.3</t>
  </si>
  <si>
    <t>1.3</t>
  </si>
  <si>
    <t>1295</t>
  </si>
  <si>
    <t>14:34:51</t>
  </si>
  <si>
    <t>-0.20</t>
  </si>
  <si>
    <t>-0.002</t>
  </si>
  <si>
    <t>-0.019</t>
  </si>
  <si>
    <t>-0.039</t>
  </si>
  <si>
    <t>-0.080</t>
  </si>
  <si>
    <t>2.467096</t>
  </si>
  <si>
    <t>2.504916</t>
  </si>
  <si>
    <t>1.065271</t>
  </si>
  <si>
    <t>0.756540</t>
  </si>
  <si>
    <t>0.216950</t>
  </si>
  <si>
    <t>-0.030808</t>
  </si>
  <si>
    <t>0.046065</t>
  </si>
  <si>
    <t>1.242759</t>
  </si>
  <si>
    <t>45.560360</t>
  </si>
  <si>
    <t>0.000145</t>
  </si>
  <si>
    <t>2</t>
  </si>
  <si>
    <t>14:36:04</t>
  </si>
  <si>
    <t>Top</t>
  </si>
  <si>
    <t>1.791993</t>
  </si>
  <si>
    <t>1.790867</t>
  </si>
  <si>
    <t>17.739874</t>
  </si>
  <si>
    <t>17.751026</t>
  </si>
  <si>
    <t>41.09</t>
  </si>
  <si>
    <t>41.06</t>
  </si>
  <si>
    <t>28.22</t>
  </si>
  <si>
    <t>100.95</t>
  </si>
  <si>
    <t>79.7</t>
  </si>
  <si>
    <t>0.5</t>
  </si>
  <si>
    <t>398</t>
  </si>
  <si>
    <t>4.043</t>
  </si>
  <si>
    <t>0.002</t>
  </si>
  <si>
    <t>-0.011</t>
  </si>
  <si>
    <t>-0.020</t>
  </si>
  <si>
    <t>2.466846</t>
  </si>
  <si>
    <t>2.504356</t>
  </si>
  <si>
    <t>1.061036</t>
  </si>
  <si>
    <t>0.756570</t>
  </si>
  <si>
    <t>0.220078</t>
  </si>
  <si>
    <t>-0.026939</t>
  </si>
  <si>
    <t>0.050647</t>
  </si>
  <si>
    <t>0.455856</t>
  </si>
  <si>
    <t>44.242142</t>
  </si>
  <si>
    <t>0.000138</t>
  </si>
  <si>
    <t>3</t>
  </si>
  <si>
    <t>14:37:55</t>
  </si>
  <si>
    <t>002</t>
  </si>
  <si>
    <t>1.735927</t>
  </si>
  <si>
    <t>1.733637</t>
  </si>
  <si>
    <t>17.156017</t>
  </si>
  <si>
    <t>17.178682</t>
  </si>
  <si>
    <t>41.95</t>
  </si>
  <si>
    <t>41.90</t>
  </si>
  <si>
    <t>29.49</t>
  </si>
  <si>
    <t>26.45</t>
  </si>
  <si>
    <t>101.05</t>
  </si>
  <si>
    <t>67.2</t>
  </si>
  <si>
    <t>15.7</t>
  </si>
  <si>
    <t>144</t>
  </si>
  <si>
    <t>4.042</t>
  </si>
  <si>
    <t>-9999.000</t>
  </si>
  <si>
    <t>-0.004</t>
  </si>
  <si>
    <t>2.468222</t>
  </si>
  <si>
    <t>2.505828</t>
  </si>
  <si>
    <t>1.061271</t>
  </si>
  <si>
    <t>0.731534</t>
  </si>
  <si>
    <t>0.228179</t>
  </si>
  <si>
    <t>-0.036802</t>
  </si>
  <si>
    <t>0.059766</t>
  </si>
  <si>
    <t>0.233697</t>
  </si>
  <si>
    <t>42.708992</t>
  </si>
  <si>
    <t>0.000147</t>
  </si>
  <si>
    <t>4</t>
  </si>
  <si>
    <t>14:38:44</t>
  </si>
  <si>
    <t>1.711271</t>
  </si>
  <si>
    <t>1.703215</t>
  </si>
  <si>
    <t>16.856710</t>
  </si>
  <si>
    <t>16.936441</t>
  </si>
  <si>
    <t>42.38</t>
  </si>
  <si>
    <t>42.18</t>
  </si>
  <si>
    <t>29.07</t>
  </si>
  <si>
    <t>25.43</t>
  </si>
  <si>
    <t>101.04</t>
  </si>
  <si>
    <t>80.0</t>
  </si>
  <si>
    <t>66.2</t>
  </si>
  <si>
    <t>17.2</t>
  </si>
  <si>
    <t>140</t>
  </si>
  <si>
    <t>4.026</t>
  </si>
  <si>
    <t>-0.007</t>
  </si>
  <si>
    <t>-0.009</t>
  </si>
  <si>
    <t>2.468716</t>
  </si>
  <si>
    <t>2.506554</t>
  </si>
  <si>
    <t>1.063115</t>
  </si>
  <si>
    <t>0.729435</t>
  </si>
  <si>
    <t>0.232039</t>
  </si>
  <si>
    <t>-0.043596</t>
  </si>
  <si>
    <t>0.063980</t>
  </si>
  <si>
    <t>0.229590</t>
  </si>
  <si>
    <t>42.268394</t>
  </si>
  <si>
    <t>0.000140</t>
  </si>
  <si>
    <t>5</t>
  </si>
  <si>
    <t>14:58:39</t>
  </si>
  <si>
    <t>003</t>
  </si>
  <si>
    <t>1.502874</t>
  </si>
  <si>
    <t>1.530316</t>
  </si>
  <si>
    <t>15.177191</t>
  </si>
  <si>
    <t>14.905031</t>
  </si>
  <si>
    <t>45.48</t>
  </si>
  <si>
    <t>46.31</t>
  </si>
  <si>
    <t>25.65</t>
  </si>
  <si>
    <t>25.42</t>
  </si>
  <si>
    <t>100.83</t>
  </si>
  <si>
    <t>79.2</t>
  </si>
  <si>
    <t>1.0</t>
  </si>
  <si>
    <t>373</t>
  </si>
  <si>
    <t>4.023</t>
  </si>
  <si>
    <t>14:57:17</t>
  </si>
  <si>
    <t>-1.29</t>
  </si>
  <si>
    <t>0</t>
  </si>
  <si>
    <t>-0.000</t>
  </si>
  <si>
    <t>2.475279</t>
  </si>
  <si>
    <t>2.513458</t>
  </si>
  <si>
    <t>1.063014</t>
  </si>
  <si>
    <t>0.756252</t>
  </si>
  <si>
    <t>0.265774</t>
  </si>
  <si>
    <t>-0.002627</t>
  </si>
  <si>
    <t>0.162086</t>
  </si>
  <si>
    <t>0.434344</t>
  </si>
  <si>
    <t>40.035366</t>
  </si>
  <si>
    <t>6</t>
  </si>
  <si>
    <t>14:59:33</t>
  </si>
  <si>
    <t>1.505342</t>
  </si>
  <si>
    <t>1.534721</t>
  </si>
  <si>
    <t>15.220542</t>
  </si>
  <si>
    <t>14.929173</t>
  </si>
  <si>
    <t>45.51</t>
  </si>
  <si>
    <t>46.40</t>
  </si>
  <si>
    <t>25.66</t>
  </si>
  <si>
    <t>27.38</t>
  </si>
  <si>
    <t>1750</t>
  </si>
  <si>
    <t>2.475397</t>
  </si>
  <si>
    <t>2.513495</t>
  </si>
  <si>
    <t>1.060937</t>
  </si>
  <si>
    <t>0.756519</t>
  </si>
  <si>
    <t>0.265593</t>
  </si>
  <si>
    <t>0.020562</t>
  </si>
  <si>
    <t>0.165972</t>
  </si>
  <si>
    <t>1.641608</t>
  </si>
  <si>
    <t>40.069698</t>
  </si>
  <si>
    <t>7</t>
  </si>
  <si>
    <t>15:00:26</t>
  </si>
  <si>
    <t>004</t>
  </si>
  <si>
    <t>1.495202</t>
  </si>
  <si>
    <t>1.524892</t>
  </si>
  <si>
    <t>15.122613</t>
  </si>
  <si>
    <t>14.828171</t>
  </si>
  <si>
    <t>46.39</t>
  </si>
  <si>
    <t>25.56</t>
  </si>
  <si>
    <t>23.91</t>
  </si>
  <si>
    <t>100.84</t>
  </si>
  <si>
    <t>69.6</t>
  </si>
  <si>
    <t>12.7</t>
  </si>
  <si>
    <t>134</t>
  </si>
  <si>
    <t>-0.005</t>
  </si>
  <si>
    <t>2.475407</t>
  </si>
  <si>
    <t>2.513484</t>
  </si>
  <si>
    <t>1.061273</t>
  </si>
  <si>
    <t>0.736323</t>
  </si>
  <si>
    <t>0.266705</t>
  </si>
  <si>
    <t>-0.019215</t>
  </si>
  <si>
    <t>0.169503</t>
  </si>
  <si>
    <t>0.224730</t>
  </si>
  <si>
    <t>40.002464</t>
  </si>
  <si>
    <t>8</t>
  </si>
  <si>
    <t>15:01:22</t>
  </si>
  <si>
    <t>1.504835</t>
  </si>
  <si>
    <t>1.530192</t>
  </si>
  <si>
    <t>15.174154</t>
  </si>
  <si>
    <t>14.922697</t>
  </si>
  <si>
    <t>46.04</t>
  </si>
  <si>
    <t>46.82</t>
  </si>
  <si>
    <t>25.46</t>
  </si>
  <si>
    <t>25.06</t>
  </si>
  <si>
    <t>79.5</t>
  </si>
  <si>
    <t>80.1</t>
  </si>
  <si>
    <t>-0.7</t>
  </si>
  <si>
    <t>1119</t>
  </si>
  <si>
    <t>4.022</t>
  </si>
  <si>
    <t>2.476036</t>
  </si>
  <si>
    <t>2.514323</t>
  </si>
  <si>
    <t>1.059930</t>
  </si>
  <si>
    <t>0.758219</t>
  </si>
  <si>
    <t>0.267743</t>
  </si>
  <si>
    <t>-0.004640</t>
  </si>
  <si>
    <t>0.172878</t>
  </si>
  <si>
    <t>1.088264</t>
  </si>
  <si>
    <t>39.884090</t>
  </si>
  <si>
    <t>9</t>
  </si>
  <si>
    <t>15:01:57</t>
  </si>
  <si>
    <t>005</t>
  </si>
  <si>
    <t>1.502399</t>
  </si>
  <si>
    <t>1.533707</t>
  </si>
  <si>
    <t>15.206299</t>
  </si>
  <si>
    <t>14.895884</t>
  </si>
  <si>
    <t>46.59</t>
  </si>
  <si>
    <t>47.56</t>
  </si>
  <si>
    <t>25.24</t>
  </si>
  <si>
    <t>24.25</t>
  </si>
  <si>
    <t>100.86</t>
  </si>
  <si>
    <t>79.4</t>
  </si>
  <si>
    <t>0.7</t>
  </si>
  <si>
    <t>148</t>
  </si>
  <si>
    <t>0.004</t>
  </si>
  <si>
    <t>0.003</t>
  </si>
  <si>
    <t>2.477132</t>
  </si>
  <si>
    <t>2.515176</t>
  </si>
  <si>
    <t>1.063066</t>
  </si>
  <si>
    <t>0.756850</t>
  </si>
  <si>
    <t>0.270169</t>
  </si>
  <si>
    <t>-0.011400</t>
  </si>
  <si>
    <t>0.175138</t>
  </si>
  <si>
    <t>0.237244</t>
  </si>
  <si>
    <t>39.833305</t>
  </si>
  <si>
    <t>10</t>
  </si>
  <si>
    <t>15:02:17</t>
  </si>
  <si>
    <t>1.504325</t>
  </si>
  <si>
    <t>1.530509</t>
  </si>
  <si>
    <t>15.173381</t>
  </si>
  <si>
    <t>14.913799</t>
  </si>
  <si>
    <t>46.79</t>
  </si>
  <si>
    <t>47.61</t>
  </si>
  <si>
    <t>25.18</t>
  </si>
  <si>
    <t>24.36</t>
  </si>
  <si>
    <t>100.87</t>
  </si>
  <si>
    <t>0.6</t>
  </si>
  <si>
    <t>4.017</t>
  </si>
  <si>
    <t>2.477211</t>
  </si>
  <si>
    <t>2.515486</t>
  </si>
  <si>
    <t>1.061466</t>
  </si>
  <si>
    <t>0.756424</t>
  </si>
  <si>
    <t>0.270731</t>
  </si>
  <si>
    <t>-0.009574</t>
  </si>
  <si>
    <t>0.176309</t>
  </si>
  <si>
    <t>0.236630</t>
  </si>
  <si>
    <t>39.821861</t>
  </si>
  <si>
    <t>11</t>
  </si>
  <si>
    <t>15:08:17</t>
  </si>
  <si>
    <t>006</t>
  </si>
  <si>
    <t>1.502403</t>
  </si>
  <si>
    <t>1.501732</t>
  </si>
  <si>
    <t>14.893742</t>
  </si>
  <si>
    <t>14.900397</t>
  </si>
  <si>
    <t>49.32</t>
  </si>
  <si>
    <t>49.30</t>
  </si>
  <si>
    <t>24.28</t>
  </si>
  <si>
    <t>23.47</t>
  </si>
  <si>
    <t>66.3</t>
  </si>
  <si>
    <t>17.1</t>
  </si>
  <si>
    <t>127</t>
  </si>
  <si>
    <t>4.016</t>
  </si>
  <si>
    <t>15:08:06</t>
  </si>
  <si>
    <t>-0.34</t>
  </si>
  <si>
    <t>2.479781</t>
  </si>
  <si>
    <t>2.517995</t>
  </si>
  <si>
    <t>1.063206</t>
  </si>
  <si>
    <t>0.729625</t>
  </si>
  <si>
    <t>0.280642</t>
  </si>
  <si>
    <t>-0.009260</t>
  </si>
  <si>
    <t>0.198673</t>
  </si>
  <si>
    <t>0.218169</t>
  </si>
  <si>
    <t>39.621948</t>
  </si>
  <si>
    <t>0.000150</t>
  </si>
  <si>
    <t>12</t>
  </si>
  <si>
    <t>15:08:44</t>
  </si>
  <si>
    <t>1.503469</t>
  </si>
  <si>
    <t>1.499674</t>
  </si>
  <si>
    <t>14.872852</t>
  </si>
  <si>
    <t>14.910490</t>
  </si>
  <si>
    <t>49.19</t>
  </si>
  <si>
    <t>24.30</t>
  </si>
  <si>
    <t>22.85</t>
  </si>
  <si>
    <t>-0.1</t>
  </si>
  <si>
    <t>1161</t>
  </si>
  <si>
    <t>4.014</t>
  </si>
  <si>
    <t>2.479630</t>
  </si>
  <si>
    <t>2.517987</t>
  </si>
  <si>
    <t>1.061056</t>
  </si>
  <si>
    <t>0.757531</t>
  </si>
  <si>
    <t>0.280497</t>
  </si>
  <si>
    <t>-0.016461</t>
  </si>
  <si>
    <t>0.200280</t>
  </si>
  <si>
    <t>1.125102</t>
  </si>
  <si>
    <t>39.591553</t>
  </si>
  <si>
    <t>0.000142</t>
  </si>
  <si>
    <t>Pt. Conception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</si>
</sst>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6"/>
  <sheetViews>
    <sheetView tabSelected="1" workbookViewId="0">
      <selection activeCell="I23" sqref="I23"/>
    </sheetView>
  </sheetViews>
  <sheetFormatPr baseColWidth="10" defaultRowHeight="16" x14ac:dyDescent="0.2"/>
  <sheetData>
    <row r="1" spans="1:81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5</v>
      </c>
      <c r="AM1" t="s">
        <v>5</v>
      </c>
      <c r="AN1" t="s">
        <v>5</v>
      </c>
      <c r="AO1" t="s">
        <v>5</v>
      </c>
      <c r="AP1" t="s">
        <v>5</v>
      </c>
      <c r="AQ1" t="s">
        <v>5</v>
      </c>
      <c r="AR1" t="s">
        <v>6</v>
      </c>
      <c r="AS1" t="s">
        <v>6</v>
      </c>
      <c r="AT1" t="s">
        <v>6</v>
      </c>
      <c r="AU1" t="s">
        <v>6</v>
      </c>
      <c r="AV1" t="s">
        <v>6</v>
      </c>
      <c r="AW1" t="s">
        <v>6</v>
      </c>
      <c r="AX1" t="s">
        <v>6</v>
      </c>
      <c r="AY1" t="s">
        <v>6</v>
      </c>
      <c r="AZ1" t="s">
        <v>6</v>
      </c>
      <c r="BA1" t="s">
        <v>6</v>
      </c>
      <c r="BB1" t="s">
        <v>6</v>
      </c>
      <c r="BC1" t="s">
        <v>7</v>
      </c>
      <c r="BD1" t="s">
        <v>7</v>
      </c>
      <c r="BE1" t="s">
        <v>7</v>
      </c>
      <c r="BF1" t="s">
        <v>7</v>
      </c>
      <c r="BG1" t="s">
        <v>7</v>
      </c>
      <c r="BH1" t="s">
        <v>7</v>
      </c>
      <c r="BI1" t="s">
        <v>7</v>
      </c>
      <c r="BJ1" t="s">
        <v>7</v>
      </c>
      <c r="BK1" t="s">
        <v>7</v>
      </c>
      <c r="BL1" t="s">
        <v>7</v>
      </c>
      <c r="BM1" t="s">
        <v>8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8</v>
      </c>
      <c r="BU1" t="s">
        <v>8</v>
      </c>
      <c r="BV1" t="s">
        <v>8</v>
      </c>
      <c r="BW1" t="s">
        <v>9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</row>
    <row r="2" spans="1:81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36</v>
      </c>
      <c r="AB2" t="s">
        <v>37</v>
      </c>
      <c r="AC2" t="s">
        <v>38</v>
      </c>
      <c r="AD2" t="s">
        <v>39</v>
      </c>
      <c r="AE2" t="s">
        <v>40</v>
      </c>
      <c r="AF2" t="s">
        <v>41</v>
      </c>
      <c r="AG2" t="s">
        <v>42</v>
      </c>
      <c r="AH2" t="s">
        <v>43</v>
      </c>
      <c r="AI2" t="s">
        <v>44</v>
      </c>
      <c r="AJ2" t="s">
        <v>45</v>
      </c>
      <c r="AK2" t="s">
        <v>46</v>
      </c>
      <c r="AL2" t="s">
        <v>47</v>
      </c>
      <c r="AM2" t="s">
        <v>48</v>
      </c>
      <c r="AN2" t="s">
        <v>49</v>
      </c>
      <c r="AO2" t="s">
        <v>50</v>
      </c>
      <c r="AP2" t="s">
        <v>51</v>
      </c>
      <c r="AQ2" t="s">
        <v>52</v>
      </c>
      <c r="AR2" t="s">
        <v>53</v>
      </c>
      <c r="AS2" t="s">
        <v>54</v>
      </c>
      <c r="AT2" t="s">
        <v>55</v>
      </c>
      <c r="AU2" t="s">
        <v>56</v>
      </c>
      <c r="AV2" t="s">
        <v>57</v>
      </c>
      <c r="AW2" t="s">
        <v>58</v>
      </c>
      <c r="AX2" t="s">
        <v>59</v>
      </c>
      <c r="AY2" t="s">
        <v>60</v>
      </c>
      <c r="AZ2" t="s">
        <v>61</v>
      </c>
      <c r="BA2" t="s">
        <v>62</v>
      </c>
      <c r="BB2" t="s">
        <v>63</v>
      </c>
      <c r="BC2" t="s">
        <v>64</v>
      </c>
      <c r="BD2" t="s">
        <v>65</v>
      </c>
      <c r="BE2" t="s">
        <v>66</v>
      </c>
      <c r="BF2" t="s">
        <v>67</v>
      </c>
      <c r="BG2" t="s">
        <v>68</v>
      </c>
      <c r="BH2" t="s">
        <v>69</v>
      </c>
      <c r="BI2" t="s">
        <v>70</v>
      </c>
      <c r="BJ2" t="s">
        <v>71</v>
      </c>
      <c r="BK2" t="s">
        <v>72</v>
      </c>
      <c r="BL2" t="s">
        <v>73</v>
      </c>
      <c r="BM2" t="s">
        <v>74</v>
      </c>
      <c r="BN2" t="s">
        <v>75</v>
      </c>
      <c r="BO2" t="s">
        <v>76</v>
      </c>
      <c r="BP2" t="s">
        <v>77</v>
      </c>
      <c r="BQ2" t="s">
        <v>78</v>
      </c>
      <c r="BR2" t="s">
        <v>79</v>
      </c>
      <c r="BS2" t="s">
        <v>80</v>
      </c>
      <c r="BT2" t="s">
        <v>81</v>
      </c>
      <c r="BU2" t="s">
        <v>82</v>
      </c>
      <c r="BV2" t="s">
        <v>83</v>
      </c>
      <c r="BW2" t="s">
        <v>84</v>
      </c>
      <c r="BX2" t="s">
        <v>85</v>
      </c>
      <c r="BY2" t="s">
        <v>86</v>
      </c>
      <c r="BZ2" t="s">
        <v>87</v>
      </c>
      <c r="CA2" t="s">
        <v>88</v>
      </c>
      <c r="CB2" t="s">
        <v>89</v>
      </c>
      <c r="CC2" t="s">
        <v>90</v>
      </c>
    </row>
    <row r="3" spans="1:81" x14ac:dyDescent="0.2">
      <c r="A3" t="s">
        <v>91</v>
      </c>
      <c r="B3" t="s">
        <v>92</v>
      </c>
      <c r="C3" t="s">
        <v>93</v>
      </c>
      <c r="D3" t="s">
        <v>91</v>
      </c>
      <c r="E3" t="s">
        <v>91</v>
      </c>
      <c r="F3" t="s">
        <v>91</v>
      </c>
      <c r="G3" t="s">
        <v>91</v>
      </c>
      <c r="H3" t="s">
        <v>91</v>
      </c>
      <c r="I3" t="s">
        <v>91</v>
      </c>
      <c r="J3" t="s">
        <v>94</v>
      </c>
      <c r="K3" t="s">
        <v>94</v>
      </c>
      <c r="L3" t="s">
        <v>94</v>
      </c>
      <c r="M3" t="s">
        <v>95</v>
      </c>
      <c r="N3" t="s">
        <v>96</v>
      </c>
      <c r="O3" t="s">
        <v>96</v>
      </c>
      <c r="P3" t="s">
        <v>96</v>
      </c>
      <c r="Q3" t="s">
        <v>96</v>
      </c>
      <c r="R3" t="s">
        <v>97</v>
      </c>
      <c r="S3" t="s">
        <v>97</v>
      </c>
      <c r="T3" t="s">
        <v>97</v>
      </c>
      <c r="U3" t="s">
        <v>98</v>
      </c>
      <c r="V3" t="s">
        <v>99</v>
      </c>
      <c r="W3" t="s">
        <v>100</v>
      </c>
      <c r="X3" t="s">
        <v>100</v>
      </c>
      <c r="Y3" t="s">
        <v>101</v>
      </c>
      <c r="Z3" t="s">
        <v>101</v>
      </c>
      <c r="AA3" t="s">
        <v>101</v>
      </c>
      <c r="AB3" t="s">
        <v>96</v>
      </c>
      <c r="AC3" t="s">
        <v>102</v>
      </c>
      <c r="AD3" t="s">
        <v>102</v>
      </c>
      <c r="AE3" t="s">
        <v>100</v>
      </c>
      <c r="AF3" t="s">
        <v>103</v>
      </c>
      <c r="AG3" t="s">
        <v>104</v>
      </c>
      <c r="AH3" t="s">
        <v>92</v>
      </c>
      <c r="AI3" t="s">
        <v>93</v>
      </c>
      <c r="AJ3" t="s">
        <v>100</v>
      </c>
      <c r="AK3" t="s">
        <v>91</v>
      </c>
      <c r="AL3" t="s">
        <v>91</v>
      </c>
      <c r="AM3" t="s">
        <v>91</v>
      </c>
      <c r="AN3" t="s">
        <v>91</v>
      </c>
      <c r="AO3" t="s">
        <v>91</v>
      </c>
      <c r="AP3" t="s">
        <v>91</v>
      </c>
      <c r="AQ3" t="s">
        <v>91</v>
      </c>
      <c r="AR3" t="s">
        <v>91</v>
      </c>
      <c r="AS3" t="s">
        <v>102</v>
      </c>
      <c r="AT3" t="s">
        <v>105</v>
      </c>
      <c r="AU3" t="s">
        <v>106</v>
      </c>
      <c r="AV3" t="s">
        <v>91</v>
      </c>
      <c r="AW3" t="s">
        <v>91</v>
      </c>
      <c r="AX3" t="s">
        <v>91</v>
      </c>
      <c r="AY3" t="s">
        <v>91</v>
      </c>
      <c r="AZ3" t="s">
        <v>91</v>
      </c>
      <c r="BA3" t="s">
        <v>91</v>
      </c>
      <c r="BB3" t="s">
        <v>91</v>
      </c>
      <c r="BC3" t="s">
        <v>104</v>
      </c>
      <c r="BD3" t="s">
        <v>104</v>
      </c>
      <c r="BE3" t="s">
        <v>104</v>
      </c>
      <c r="BF3" t="s">
        <v>104</v>
      </c>
      <c r="BG3" t="s">
        <v>104</v>
      </c>
      <c r="BH3" t="s">
        <v>104</v>
      </c>
      <c r="BI3" t="s">
        <v>104</v>
      </c>
      <c r="BJ3" t="s">
        <v>104</v>
      </c>
      <c r="BK3" t="s">
        <v>104</v>
      </c>
      <c r="BL3" t="s">
        <v>107</v>
      </c>
      <c r="BM3" t="s">
        <v>91</v>
      </c>
      <c r="BN3" t="s">
        <v>91</v>
      </c>
      <c r="BO3" t="s">
        <v>91</v>
      </c>
      <c r="BP3" t="s">
        <v>91</v>
      </c>
      <c r="BQ3" t="s">
        <v>91</v>
      </c>
      <c r="BR3" t="s">
        <v>91</v>
      </c>
      <c r="BS3" t="s">
        <v>91</v>
      </c>
      <c r="BT3" t="s">
        <v>91</v>
      </c>
      <c r="BU3" t="s">
        <v>91</v>
      </c>
      <c r="BV3" t="s">
        <v>91</v>
      </c>
      <c r="BW3" t="s">
        <v>91</v>
      </c>
      <c r="BX3" t="s">
        <v>91</v>
      </c>
      <c r="BY3" t="s">
        <v>91</v>
      </c>
      <c r="BZ3" t="s">
        <v>91</v>
      </c>
      <c r="CA3" t="s">
        <v>91</v>
      </c>
      <c r="CB3" t="s">
        <v>91</v>
      </c>
      <c r="CC3" t="s">
        <v>91</v>
      </c>
    </row>
    <row r="4" spans="1:81" x14ac:dyDescent="0.2">
      <c r="A4" t="s">
        <v>108</v>
      </c>
      <c r="B4" t="s">
        <v>109</v>
      </c>
      <c r="C4" t="s">
        <v>110</v>
      </c>
      <c r="D4" t="s">
        <v>111</v>
      </c>
      <c r="E4" t="s">
        <v>112</v>
      </c>
      <c r="F4" t="s">
        <v>91</v>
      </c>
      <c r="G4" t="s">
        <v>476</v>
      </c>
      <c r="H4" t="s">
        <v>113</v>
      </c>
      <c r="I4" t="s">
        <v>91</v>
      </c>
      <c r="J4">
        <f t="shared" ref="J4:J16" si="0">1/((1/L4)-(1/K4))</f>
        <v>3.1248254820704713E-4</v>
      </c>
      <c r="K4">
        <f t="shared" ref="K4:K16" si="1">AW4+(AX4*AC4)+(AY4*AC4*POWER(V4,2))+(AZ4*AC4*V4)+(BA4*POWER(AC4,2))</f>
        <v>1.8958491199999996</v>
      </c>
      <c r="L4">
        <f t="shared" ref="L4:L16" si="2">((M4/1000)*(1000-((T4+S4)/2)))/(T4-S4)</f>
        <v>3.1243105188795558E-4</v>
      </c>
      <c r="M4">
        <f t="shared" ref="M4:M16" si="3">(AC4*(S4-R4))/(100*U4*(1000-S4))*1000</f>
        <v>9.3615501772773523E-3</v>
      </c>
      <c r="N4" t="s">
        <v>114</v>
      </c>
      <c r="O4" t="s">
        <v>115</v>
      </c>
      <c r="P4">
        <f t="shared" ref="P4:P16" si="4">0.61365*EXP((17.502*AA4)/(240.97+AA4))</f>
        <v>4.3618192072402104</v>
      </c>
      <c r="Q4">
        <f t="shared" ref="Q4:Q16" si="5">P4-N4</f>
        <v>2.9450962072402103</v>
      </c>
      <c r="R4" t="s">
        <v>116</v>
      </c>
      <c r="S4" t="s">
        <v>117</v>
      </c>
      <c r="T4">
        <f t="shared" ref="T4:T16" si="6">(P4/AB4)*1000</f>
        <v>43.10949997272396</v>
      </c>
      <c r="U4">
        <f t="shared" ref="U4:U16" si="7">V4*AV4</f>
        <v>0.4417875</v>
      </c>
      <c r="V4" t="s">
        <v>118</v>
      </c>
      <c r="W4" t="s">
        <v>119</v>
      </c>
      <c r="X4" t="s">
        <v>120</v>
      </c>
      <c r="Y4" t="s">
        <v>121</v>
      </c>
      <c r="Z4" t="s">
        <v>122</v>
      </c>
      <c r="AA4">
        <f t="shared" ref="AA4:AA16" si="8">(Z4-Y4)*(Y4*0+0)+Z4</f>
        <v>30.41</v>
      </c>
      <c r="AB4" t="s">
        <v>123</v>
      </c>
      <c r="AC4" t="s">
        <v>124</v>
      </c>
      <c r="AD4" t="s">
        <v>125</v>
      </c>
      <c r="AE4" t="s">
        <v>126</v>
      </c>
      <c r="AF4" t="s">
        <v>108</v>
      </c>
      <c r="AG4" t="s">
        <v>127</v>
      </c>
      <c r="AH4" t="s">
        <v>128</v>
      </c>
      <c r="AI4" t="s">
        <v>110</v>
      </c>
      <c r="AJ4" t="s">
        <v>129</v>
      </c>
      <c r="AK4" t="s">
        <v>108</v>
      </c>
      <c r="AL4" t="s">
        <v>130</v>
      </c>
      <c r="AM4" t="s">
        <v>131</v>
      </c>
      <c r="AN4" t="s">
        <v>132</v>
      </c>
      <c r="AO4" t="s">
        <v>133</v>
      </c>
      <c r="AP4" t="s">
        <v>134</v>
      </c>
      <c r="AQ4" t="s">
        <v>135</v>
      </c>
      <c r="AR4" t="s">
        <v>108</v>
      </c>
      <c r="AS4" t="s">
        <v>136</v>
      </c>
      <c r="AT4" t="s">
        <v>137</v>
      </c>
      <c r="AU4" t="s">
        <v>138</v>
      </c>
      <c r="AV4" t="s">
        <v>139</v>
      </c>
      <c r="AW4" t="s">
        <v>140</v>
      </c>
      <c r="AX4" t="s">
        <v>141</v>
      </c>
      <c r="AY4" t="s">
        <v>140</v>
      </c>
      <c r="AZ4" t="s">
        <v>140</v>
      </c>
      <c r="BA4" t="s">
        <v>142</v>
      </c>
      <c r="BB4" t="s">
        <v>143</v>
      </c>
      <c r="BC4" t="s">
        <v>144</v>
      </c>
      <c r="BD4" t="s">
        <v>145</v>
      </c>
      <c r="BE4" t="s">
        <v>146</v>
      </c>
      <c r="BF4" t="s">
        <v>147</v>
      </c>
      <c r="BG4" t="s">
        <v>148</v>
      </c>
      <c r="BH4" t="s">
        <v>149</v>
      </c>
      <c r="BI4" t="s">
        <v>150</v>
      </c>
      <c r="BJ4" t="s">
        <v>151</v>
      </c>
      <c r="BK4" t="s">
        <v>152</v>
      </c>
      <c r="BL4" t="s">
        <v>153</v>
      </c>
      <c r="BM4" t="s">
        <v>154</v>
      </c>
      <c r="BN4" t="s">
        <v>155</v>
      </c>
      <c r="BO4" t="s">
        <v>156</v>
      </c>
      <c r="BP4" t="s">
        <v>157</v>
      </c>
      <c r="BQ4" t="s">
        <v>158</v>
      </c>
      <c r="BR4" t="s">
        <v>156</v>
      </c>
      <c r="BS4" t="s">
        <v>159</v>
      </c>
      <c r="BT4" t="s">
        <v>160</v>
      </c>
      <c r="BU4" t="s">
        <v>161</v>
      </c>
      <c r="BV4" t="s">
        <v>140</v>
      </c>
      <c r="BW4" t="s">
        <v>91</v>
      </c>
      <c r="BX4" t="s">
        <v>162</v>
      </c>
      <c r="BY4" t="s">
        <v>163</v>
      </c>
      <c r="BZ4" t="s">
        <v>91</v>
      </c>
      <c r="CA4" t="s">
        <v>164</v>
      </c>
      <c r="CB4" t="s">
        <v>165</v>
      </c>
      <c r="CC4" t="s">
        <v>166</v>
      </c>
    </row>
    <row r="5" spans="1:81" x14ac:dyDescent="0.2">
      <c r="A5" t="s">
        <v>108</v>
      </c>
      <c r="B5" t="s">
        <v>167</v>
      </c>
      <c r="C5" t="s">
        <v>110</v>
      </c>
      <c r="D5" t="s">
        <v>111</v>
      </c>
      <c r="E5" t="s">
        <v>112</v>
      </c>
      <c r="F5" t="s">
        <v>91</v>
      </c>
      <c r="G5" t="s">
        <v>476</v>
      </c>
      <c r="H5" t="s">
        <v>113</v>
      </c>
      <c r="I5" t="s">
        <v>168</v>
      </c>
      <c r="J5">
        <f t="shared" si="0"/>
        <v>9.2319000118010423E-3</v>
      </c>
      <c r="K5">
        <f t="shared" si="1"/>
        <v>1.9086988800000002</v>
      </c>
      <c r="L5">
        <f t="shared" si="2"/>
        <v>9.1874625489290155E-3</v>
      </c>
      <c r="M5">
        <f t="shared" si="3"/>
        <v>0.1879006777141945</v>
      </c>
      <c r="N5" t="s">
        <v>169</v>
      </c>
      <c r="O5" t="s">
        <v>170</v>
      </c>
      <c r="P5">
        <f t="shared" si="4"/>
        <v>3.8549824443935776</v>
      </c>
      <c r="Q5">
        <f t="shared" si="5"/>
        <v>2.0061054443935777</v>
      </c>
      <c r="R5" t="s">
        <v>171</v>
      </c>
      <c r="S5" t="s">
        <v>172</v>
      </c>
      <c r="T5">
        <f t="shared" si="6"/>
        <v>38.190830635957774</v>
      </c>
      <c r="U5">
        <f t="shared" si="7"/>
        <v>0.4417875</v>
      </c>
      <c r="V5" t="s">
        <v>118</v>
      </c>
      <c r="W5" t="s">
        <v>173</v>
      </c>
      <c r="X5" t="s">
        <v>174</v>
      </c>
      <c r="Y5" t="s">
        <v>175</v>
      </c>
      <c r="Z5" t="s">
        <v>176</v>
      </c>
      <c r="AA5">
        <f t="shared" si="8"/>
        <v>28.27</v>
      </c>
      <c r="AB5" t="s">
        <v>177</v>
      </c>
      <c r="AC5" t="s">
        <v>178</v>
      </c>
      <c r="AD5" t="s">
        <v>179</v>
      </c>
      <c r="AE5" t="s">
        <v>180</v>
      </c>
      <c r="AF5" t="s">
        <v>181</v>
      </c>
      <c r="AG5" t="s">
        <v>127</v>
      </c>
      <c r="AH5" t="s">
        <v>182</v>
      </c>
      <c r="AI5" t="s">
        <v>110</v>
      </c>
      <c r="AJ5" t="s">
        <v>183</v>
      </c>
      <c r="AK5" t="s">
        <v>108</v>
      </c>
      <c r="AL5" t="s">
        <v>131</v>
      </c>
      <c r="AM5" t="s">
        <v>130</v>
      </c>
      <c r="AN5" t="s">
        <v>184</v>
      </c>
      <c r="AO5" t="s">
        <v>185</v>
      </c>
      <c r="AP5" t="s">
        <v>186</v>
      </c>
      <c r="AQ5" t="s">
        <v>187</v>
      </c>
      <c r="AR5" t="s">
        <v>108</v>
      </c>
      <c r="AS5" t="s">
        <v>136</v>
      </c>
      <c r="AT5" t="s">
        <v>137</v>
      </c>
      <c r="AU5" t="s">
        <v>138</v>
      </c>
      <c r="AV5" t="s">
        <v>139</v>
      </c>
      <c r="AW5" t="s">
        <v>140</v>
      </c>
      <c r="AX5" t="s">
        <v>141</v>
      </c>
      <c r="AY5" t="s">
        <v>140</v>
      </c>
      <c r="AZ5" t="s">
        <v>140</v>
      </c>
      <c r="BA5" t="s">
        <v>142</v>
      </c>
      <c r="BB5" t="s">
        <v>143</v>
      </c>
      <c r="BC5" t="s">
        <v>188</v>
      </c>
      <c r="BD5" t="s">
        <v>189</v>
      </c>
      <c r="BE5" t="s">
        <v>190</v>
      </c>
      <c r="BF5" t="s">
        <v>191</v>
      </c>
      <c r="BG5" t="s">
        <v>192</v>
      </c>
      <c r="BH5" t="s">
        <v>193</v>
      </c>
      <c r="BI5" t="s">
        <v>194</v>
      </c>
      <c r="BJ5" t="s">
        <v>195</v>
      </c>
      <c r="BK5" t="s">
        <v>196</v>
      </c>
      <c r="BL5" t="s">
        <v>197</v>
      </c>
      <c r="BM5" t="s">
        <v>154</v>
      </c>
      <c r="BN5" t="s">
        <v>155</v>
      </c>
      <c r="BO5" t="s">
        <v>156</v>
      </c>
      <c r="BP5" t="s">
        <v>157</v>
      </c>
      <c r="BQ5" t="s">
        <v>158</v>
      </c>
      <c r="BR5" t="s">
        <v>156</v>
      </c>
      <c r="BS5" t="s">
        <v>159</v>
      </c>
      <c r="BT5" t="s">
        <v>160</v>
      </c>
      <c r="BU5" t="s">
        <v>161</v>
      </c>
      <c r="BV5" t="s">
        <v>140</v>
      </c>
      <c r="BW5" t="s">
        <v>91</v>
      </c>
      <c r="BX5" t="s">
        <v>162</v>
      </c>
      <c r="BY5" t="s">
        <v>163</v>
      </c>
      <c r="BZ5" t="s">
        <v>91</v>
      </c>
      <c r="CA5" t="s">
        <v>164</v>
      </c>
      <c r="CB5" t="s">
        <v>165</v>
      </c>
      <c r="CC5" t="s">
        <v>166</v>
      </c>
    </row>
    <row r="6" spans="1:81" x14ac:dyDescent="0.2">
      <c r="A6" t="s">
        <v>198</v>
      </c>
      <c r="B6" t="s">
        <v>199</v>
      </c>
      <c r="C6" t="s">
        <v>110</v>
      </c>
      <c r="D6" t="s">
        <v>111</v>
      </c>
      <c r="E6" t="s">
        <v>112</v>
      </c>
      <c r="F6" t="s">
        <v>91</v>
      </c>
      <c r="G6" t="s">
        <v>476</v>
      </c>
      <c r="H6" t="s">
        <v>113</v>
      </c>
      <c r="I6" t="s">
        <v>200</v>
      </c>
      <c r="J6">
        <f t="shared" si="0"/>
        <v>9.8010590640194178E-4</v>
      </c>
      <c r="K6">
        <f t="shared" si="1"/>
        <v>1.89768888</v>
      </c>
      <c r="L6">
        <f t="shared" si="2"/>
        <v>9.7959996903482075E-4</v>
      </c>
      <c r="M6">
        <f t="shared" si="3"/>
        <v>2.0482175101354669E-2</v>
      </c>
      <c r="N6" t="s">
        <v>201</v>
      </c>
      <c r="O6" t="s">
        <v>202</v>
      </c>
      <c r="P6">
        <f t="shared" si="4"/>
        <v>3.8437825759976865</v>
      </c>
      <c r="Q6">
        <f t="shared" si="5"/>
        <v>2.0517895759976863</v>
      </c>
      <c r="R6" t="s">
        <v>203</v>
      </c>
      <c r="S6" t="s">
        <v>204</v>
      </c>
      <c r="T6">
        <f t="shared" si="6"/>
        <v>38.076102783533294</v>
      </c>
      <c r="U6">
        <f t="shared" si="7"/>
        <v>0.4417875</v>
      </c>
      <c r="V6" t="s">
        <v>118</v>
      </c>
      <c r="W6" t="s">
        <v>205</v>
      </c>
      <c r="X6" t="s">
        <v>206</v>
      </c>
      <c r="Y6" t="s">
        <v>122</v>
      </c>
      <c r="Z6" t="s">
        <v>207</v>
      </c>
      <c r="AA6">
        <f t="shared" si="8"/>
        <v>28.22</v>
      </c>
      <c r="AB6" t="s">
        <v>208</v>
      </c>
      <c r="AC6" t="s">
        <v>209</v>
      </c>
      <c r="AD6" t="s">
        <v>179</v>
      </c>
      <c r="AE6" t="s">
        <v>210</v>
      </c>
      <c r="AF6" t="s">
        <v>211</v>
      </c>
      <c r="AG6" t="s">
        <v>212</v>
      </c>
      <c r="AH6" t="s">
        <v>182</v>
      </c>
      <c r="AI6" t="s">
        <v>110</v>
      </c>
      <c r="AJ6" t="s">
        <v>183</v>
      </c>
      <c r="AK6" t="s">
        <v>108</v>
      </c>
      <c r="AL6" t="s">
        <v>137</v>
      </c>
      <c r="AM6" t="s">
        <v>130</v>
      </c>
      <c r="AN6" t="s">
        <v>213</v>
      </c>
      <c r="AO6" t="s">
        <v>214</v>
      </c>
      <c r="AP6" t="s">
        <v>215</v>
      </c>
      <c r="AQ6" t="s">
        <v>186</v>
      </c>
      <c r="AR6" t="s">
        <v>108</v>
      </c>
      <c r="AS6" t="s">
        <v>136</v>
      </c>
      <c r="AT6" t="s">
        <v>137</v>
      </c>
      <c r="AU6" t="s">
        <v>138</v>
      </c>
      <c r="AV6" t="s">
        <v>139</v>
      </c>
      <c r="AW6" t="s">
        <v>140</v>
      </c>
      <c r="AX6" t="s">
        <v>141</v>
      </c>
      <c r="AY6" t="s">
        <v>140</v>
      </c>
      <c r="AZ6" t="s">
        <v>140</v>
      </c>
      <c r="BA6" t="s">
        <v>142</v>
      </c>
      <c r="BB6" t="s">
        <v>143</v>
      </c>
      <c r="BC6" t="s">
        <v>216</v>
      </c>
      <c r="BD6" t="s">
        <v>217</v>
      </c>
      <c r="BE6" t="s">
        <v>218</v>
      </c>
      <c r="BF6" t="s">
        <v>219</v>
      </c>
      <c r="BG6" t="s">
        <v>220</v>
      </c>
      <c r="BH6" t="s">
        <v>221</v>
      </c>
      <c r="BI6" t="s">
        <v>222</v>
      </c>
      <c r="BJ6" t="s">
        <v>223</v>
      </c>
      <c r="BK6" t="s">
        <v>224</v>
      </c>
      <c r="BL6" t="s">
        <v>225</v>
      </c>
      <c r="BM6" t="s">
        <v>154</v>
      </c>
      <c r="BN6" t="s">
        <v>155</v>
      </c>
      <c r="BO6" t="s">
        <v>156</v>
      </c>
      <c r="BP6" t="s">
        <v>157</v>
      </c>
      <c r="BQ6" t="s">
        <v>158</v>
      </c>
      <c r="BR6" t="s">
        <v>156</v>
      </c>
      <c r="BS6" t="s">
        <v>159</v>
      </c>
      <c r="BT6" t="s">
        <v>160</v>
      </c>
      <c r="BU6" t="s">
        <v>161</v>
      </c>
      <c r="BV6" t="s">
        <v>140</v>
      </c>
      <c r="BW6" t="s">
        <v>91</v>
      </c>
      <c r="BX6" t="s">
        <v>162</v>
      </c>
      <c r="BY6" t="s">
        <v>163</v>
      </c>
      <c r="BZ6" t="s">
        <v>91</v>
      </c>
      <c r="CA6" t="s">
        <v>164</v>
      </c>
      <c r="CB6" t="s">
        <v>165</v>
      </c>
      <c r="CC6" t="s">
        <v>166</v>
      </c>
    </row>
    <row r="7" spans="1:81" x14ac:dyDescent="0.2">
      <c r="A7" t="s">
        <v>226</v>
      </c>
      <c r="B7" t="s">
        <v>227</v>
      </c>
      <c r="C7" t="s">
        <v>110</v>
      </c>
      <c r="D7" t="s">
        <v>111</v>
      </c>
      <c r="E7" t="s">
        <v>112</v>
      </c>
      <c r="F7" t="s">
        <v>91</v>
      </c>
      <c r="G7" t="s">
        <v>476</v>
      </c>
      <c r="H7" t="s">
        <v>228</v>
      </c>
      <c r="I7" t="s">
        <v>168</v>
      </c>
      <c r="J7">
        <f t="shared" si="0"/>
        <v>2.3714994368801952E-3</v>
      </c>
      <c r="K7">
        <f t="shared" si="1"/>
        <v>1.89768888</v>
      </c>
      <c r="L7">
        <f t="shared" si="2"/>
        <v>2.3685395259005295E-3</v>
      </c>
      <c r="M7">
        <f t="shared" si="3"/>
        <v>4.1603134518305281E-2</v>
      </c>
      <c r="N7" t="s">
        <v>229</v>
      </c>
      <c r="O7" t="s">
        <v>230</v>
      </c>
      <c r="P7">
        <f t="shared" si="4"/>
        <v>3.4651598065516263</v>
      </c>
      <c r="Q7">
        <f t="shared" si="5"/>
        <v>1.7292328065516263</v>
      </c>
      <c r="R7" t="s">
        <v>231</v>
      </c>
      <c r="S7" t="s">
        <v>232</v>
      </c>
      <c r="T7">
        <f t="shared" si="6"/>
        <v>34.291536927774629</v>
      </c>
      <c r="U7">
        <f t="shared" si="7"/>
        <v>0.4417875</v>
      </c>
      <c r="V7" t="s">
        <v>118</v>
      </c>
      <c r="W7" t="s">
        <v>233</v>
      </c>
      <c r="X7" t="s">
        <v>234</v>
      </c>
      <c r="Y7" t="s">
        <v>235</v>
      </c>
      <c r="Z7" t="s">
        <v>236</v>
      </c>
      <c r="AA7">
        <f t="shared" si="8"/>
        <v>26.45</v>
      </c>
      <c r="AB7" t="s">
        <v>237</v>
      </c>
      <c r="AC7" t="s">
        <v>209</v>
      </c>
      <c r="AD7" t="s">
        <v>238</v>
      </c>
      <c r="AE7" t="s">
        <v>239</v>
      </c>
      <c r="AF7" t="s">
        <v>240</v>
      </c>
      <c r="AG7" t="s">
        <v>241</v>
      </c>
      <c r="AH7" t="s">
        <v>182</v>
      </c>
      <c r="AI7" t="s">
        <v>110</v>
      </c>
      <c r="AJ7" t="s">
        <v>183</v>
      </c>
      <c r="AK7" t="s">
        <v>108</v>
      </c>
      <c r="AL7" t="s">
        <v>137</v>
      </c>
      <c r="AM7" t="s">
        <v>137</v>
      </c>
      <c r="AN7" t="s">
        <v>242</v>
      </c>
      <c r="AO7" t="s">
        <v>243</v>
      </c>
      <c r="AP7" t="s">
        <v>214</v>
      </c>
      <c r="AQ7" t="s">
        <v>242</v>
      </c>
      <c r="AR7" t="s">
        <v>108</v>
      </c>
      <c r="AS7" t="s">
        <v>136</v>
      </c>
      <c r="AT7" t="s">
        <v>137</v>
      </c>
      <c r="AU7" t="s">
        <v>138</v>
      </c>
      <c r="AV7" t="s">
        <v>139</v>
      </c>
      <c r="AW7" t="s">
        <v>140</v>
      </c>
      <c r="AX7" t="s">
        <v>141</v>
      </c>
      <c r="AY7" t="s">
        <v>140</v>
      </c>
      <c r="AZ7" t="s">
        <v>140</v>
      </c>
      <c r="BA7" t="s">
        <v>142</v>
      </c>
      <c r="BB7" t="s">
        <v>143</v>
      </c>
      <c r="BC7" t="s">
        <v>244</v>
      </c>
      <c r="BD7" t="s">
        <v>245</v>
      </c>
      <c r="BE7" t="s">
        <v>246</v>
      </c>
      <c r="BF7" t="s">
        <v>247</v>
      </c>
      <c r="BG7" t="s">
        <v>248</v>
      </c>
      <c r="BH7" t="s">
        <v>249</v>
      </c>
      <c r="BI7" t="s">
        <v>250</v>
      </c>
      <c r="BJ7" t="s">
        <v>251</v>
      </c>
      <c r="BK7" t="s">
        <v>252</v>
      </c>
      <c r="BL7" t="s">
        <v>253</v>
      </c>
      <c r="BM7" t="s">
        <v>154</v>
      </c>
      <c r="BN7" t="s">
        <v>155</v>
      </c>
      <c r="BO7" t="s">
        <v>156</v>
      </c>
      <c r="BP7" t="s">
        <v>157</v>
      </c>
      <c r="BQ7" t="s">
        <v>158</v>
      </c>
      <c r="BR7" t="s">
        <v>156</v>
      </c>
      <c r="BS7" t="s">
        <v>159</v>
      </c>
      <c r="BT7" t="s">
        <v>160</v>
      </c>
      <c r="BU7" t="s">
        <v>161</v>
      </c>
      <c r="BV7" t="s">
        <v>140</v>
      </c>
      <c r="BW7" t="s">
        <v>91</v>
      </c>
      <c r="BX7" t="s">
        <v>162</v>
      </c>
      <c r="BY7" t="s">
        <v>163</v>
      </c>
      <c r="BZ7" t="s">
        <v>91</v>
      </c>
      <c r="CA7" t="s">
        <v>164</v>
      </c>
      <c r="CB7" t="s">
        <v>165</v>
      </c>
      <c r="CC7" t="s">
        <v>166</v>
      </c>
    </row>
    <row r="8" spans="1:81" x14ac:dyDescent="0.2">
      <c r="A8" t="s">
        <v>254</v>
      </c>
      <c r="B8" t="s">
        <v>255</v>
      </c>
      <c r="C8" t="s">
        <v>110</v>
      </c>
      <c r="D8" t="s">
        <v>111</v>
      </c>
      <c r="E8" t="s">
        <v>112</v>
      </c>
      <c r="F8" t="s">
        <v>91</v>
      </c>
      <c r="G8" t="s">
        <v>476</v>
      </c>
      <c r="H8" t="s">
        <v>228</v>
      </c>
      <c r="I8" t="s">
        <v>200</v>
      </c>
      <c r="J8">
        <f t="shared" si="0"/>
        <v>9.3790239795672817E-3</v>
      </c>
      <c r="K8">
        <f t="shared" si="1"/>
        <v>1.9032</v>
      </c>
      <c r="L8">
        <f t="shared" si="2"/>
        <v>9.3330305384041207E-3</v>
      </c>
      <c r="M8">
        <f t="shared" si="3"/>
        <v>0.14686630775868539</v>
      </c>
      <c r="N8" t="s">
        <v>256</v>
      </c>
      <c r="O8" t="s">
        <v>257</v>
      </c>
      <c r="P8">
        <f t="shared" si="4"/>
        <v>3.2621113340993202</v>
      </c>
      <c r="Q8">
        <f t="shared" si="5"/>
        <v>1.5508403340993202</v>
      </c>
      <c r="R8" t="s">
        <v>258</v>
      </c>
      <c r="S8" t="s">
        <v>259</v>
      </c>
      <c r="T8">
        <f t="shared" si="6"/>
        <v>32.285345745242672</v>
      </c>
      <c r="U8">
        <f t="shared" si="7"/>
        <v>0.4417875</v>
      </c>
      <c r="V8" t="s">
        <v>118</v>
      </c>
      <c r="W8" t="s">
        <v>260</v>
      </c>
      <c r="X8" t="s">
        <v>261</v>
      </c>
      <c r="Y8" t="s">
        <v>262</v>
      </c>
      <c r="Z8" t="s">
        <v>263</v>
      </c>
      <c r="AA8">
        <f t="shared" si="8"/>
        <v>25.43</v>
      </c>
      <c r="AB8" t="s">
        <v>264</v>
      </c>
      <c r="AC8" t="s">
        <v>265</v>
      </c>
      <c r="AD8" t="s">
        <v>266</v>
      </c>
      <c r="AE8" t="s">
        <v>267</v>
      </c>
      <c r="AF8" t="s">
        <v>268</v>
      </c>
      <c r="AG8" t="s">
        <v>269</v>
      </c>
      <c r="AH8" t="s">
        <v>182</v>
      </c>
      <c r="AI8" t="s">
        <v>110</v>
      </c>
      <c r="AJ8" t="s">
        <v>183</v>
      </c>
      <c r="AK8" t="s">
        <v>108</v>
      </c>
      <c r="AL8" t="s">
        <v>130</v>
      </c>
      <c r="AM8" t="s">
        <v>130</v>
      </c>
      <c r="AN8" t="s">
        <v>242</v>
      </c>
      <c r="AO8" t="s">
        <v>270</v>
      </c>
      <c r="AP8" t="s">
        <v>271</v>
      </c>
      <c r="AQ8" t="s">
        <v>242</v>
      </c>
      <c r="AR8" t="s">
        <v>108</v>
      </c>
      <c r="AS8" t="s">
        <v>136</v>
      </c>
      <c r="AT8" t="s">
        <v>137</v>
      </c>
      <c r="AU8" t="s">
        <v>138</v>
      </c>
      <c r="AV8" t="s">
        <v>139</v>
      </c>
      <c r="AW8" t="s">
        <v>140</v>
      </c>
      <c r="AX8" t="s">
        <v>141</v>
      </c>
      <c r="AY8" t="s">
        <v>140</v>
      </c>
      <c r="AZ8" t="s">
        <v>140</v>
      </c>
      <c r="BA8" t="s">
        <v>142</v>
      </c>
      <c r="BB8" t="s">
        <v>143</v>
      </c>
      <c r="BC8" t="s">
        <v>272</v>
      </c>
      <c r="BD8" t="s">
        <v>273</v>
      </c>
      <c r="BE8" t="s">
        <v>274</v>
      </c>
      <c r="BF8" t="s">
        <v>275</v>
      </c>
      <c r="BG8" t="s">
        <v>276</v>
      </c>
      <c r="BH8" t="s">
        <v>277</v>
      </c>
      <c r="BI8" t="s">
        <v>278</v>
      </c>
      <c r="BJ8" t="s">
        <v>279</v>
      </c>
      <c r="BK8" t="s">
        <v>280</v>
      </c>
      <c r="BL8" t="s">
        <v>281</v>
      </c>
      <c r="BM8" t="s">
        <v>154</v>
      </c>
      <c r="BN8" t="s">
        <v>155</v>
      </c>
      <c r="BO8" t="s">
        <v>156</v>
      </c>
      <c r="BP8" t="s">
        <v>157</v>
      </c>
      <c r="BQ8" t="s">
        <v>158</v>
      </c>
      <c r="BR8" t="s">
        <v>156</v>
      </c>
      <c r="BS8" t="s">
        <v>159</v>
      </c>
      <c r="BT8" t="s">
        <v>160</v>
      </c>
      <c r="BU8" t="s">
        <v>161</v>
      </c>
      <c r="BV8" t="s">
        <v>140</v>
      </c>
      <c r="BW8" t="s">
        <v>91</v>
      </c>
      <c r="BX8" t="s">
        <v>162</v>
      </c>
      <c r="BY8" t="s">
        <v>163</v>
      </c>
      <c r="BZ8" t="s">
        <v>91</v>
      </c>
      <c r="CA8" t="s">
        <v>164</v>
      </c>
      <c r="CB8" t="s">
        <v>165</v>
      </c>
      <c r="CC8" t="s">
        <v>166</v>
      </c>
    </row>
    <row r="9" spans="1:81" x14ac:dyDescent="0.2">
      <c r="A9" t="s">
        <v>282</v>
      </c>
      <c r="B9" t="s">
        <v>283</v>
      </c>
      <c r="C9" t="s">
        <v>110</v>
      </c>
      <c r="D9" t="s">
        <v>111</v>
      </c>
      <c r="E9" t="s">
        <v>112</v>
      </c>
      <c r="F9" t="s">
        <v>91</v>
      </c>
      <c r="G9" t="s">
        <v>476</v>
      </c>
      <c r="H9" t="s">
        <v>284</v>
      </c>
      <c r="I9" t="s">
        <v>200</v>
      </c>
      <c r="J9">
        <f t="shared" si="0"/>
        <v>-2.7620851537158955E-2</v>
      </c>
      <c r="K9">
        <f t="shared" si="1"/>
        <v>1.9032</v>
      </c>
      <c r="L9">
        <f t="shared" si="2"/>
        <v>-2.802761199846128E-2</v>
      </c>
      <c r="M9">
        <f t="shared" si="3"/>
        <v>-0.5002910786350111</v>
      </c>
      <c r="N9" t="s">
        <v>285</v>
      </c>
      <c r="O9" t="s">
        <v>286</v>
      </c>
      <c r="P9">
        <f t="shared" si="4"/>
        <v>3.2601732694681624</v>
      </c>
      <c r="Q9">
        <f t="shared" si="5"/>
        <v>1.7572992694681624</v>
      </c>
      <c r="R9" t="s">
        <v>287</v>
      </c>
      <c r="S9" t="s">
        <v>288</v>
      </c>
      <c r="T9">
        <f t="shared" si="6"/>
        <v>32.333365758882898</v>
      </c>
      <c r="U9">
        <f t="shared" si="7"/>
        <v>0.4417875</v>
      </c>
      <c r="V9" t="s">
        <v>118</v>
      </c>
      <c r="W9" t="s">
        <v>289</v>
      </c>
      <c r="X9" t="s">
        <v>290</v>
      </c>
      <c r="Y9" t="s">
        <v>291</v>
      </c>
      <c r="Z9" t="s">
        <v>292</v>
      </c>
      <c r="AA9">
        <f t="shared" si="8"/>
        <v>25.42</v>
      </c>
      <c r="AB9" t="s">
        <v>293</v>
      </c>
      <c r="AC9" t="s">
        <v>265</v>
      </c>
      <c r="AD9" t="s">
        <v>294</v>
      </c>
      <c r="AE9" t="s">
        <v>295</v>
      </c>
      <c r="AF9" t="s">
        <v>296</v>
      </c>
      <c r="AG9" t="s">
        <v>297</v>
      </c>
      <c r="AH9" t="s">
        <v>298</v>
      </c>
      <c r="AI9" t="s">
        <v>110</v>
      </c>
      <c r="AJ9" t="s">
        <v>299</v>
      </c>
      <c r="AK9" t="s">
        <v>300</v>
      </c>
      <c r="AL9" t="s">
        <v>301</v>
      </c>
      <c r="AM9" t="s">
        <v>301</v>
      </c>
      <c r="AN9" t="s">
        <v>242</v>
      </c>
      <c r="AO9" t="s">
        <v>301</v>
      </c>
      <c r="AP9" t="s">
        <v>132</v>
      </c>
      <c r="AQ9" t="s">
        <v>242</v>
      </c>
      <c r="AR9" t="s">
        <v>108</v>
      </c>
      <c r="AS9" t="s">
        <v>136</v>
      </c>
      <c r="AT9" t="s">
        <v>137</v>
      </c>
      <c r="AU9" t="s">
        <v>138</v>
      </c>
      <c r="AV9" t="s">
        <v>139</v>
      </c>
      <c r="AW9" t="s">
        <v>140</v>
      </c>
      <c r="AX9" t="s">
        <v>141</v>
      </c>
      <c r="AY9" t="s">
        <v>140</v>
      </c>
      <c r="AZ9" t="s">
        <v>140</v>
      </c>
      <c r="BA9" t="s">
        <v>142</v>
      </c>
      <c r="BB9" t="s">
        <v>143</v>
      </c>
      <c r="BC9" t="s">
        <v>302</v>
      </c>
      <c r="BD9" t="s">
        <v>303</v>
      </c>
      <c r="BE9" t="s">
        <v>304</v>
      </c>
      <c r="BF9" t="s">
        <v>305</v>
      </c>
      <c r="BG9" t="s">
        <v>306</v>
      </c>
      <c r="BH9" t="s">
        <v>307</v>
      </c>
      <c r="BI9" t="s">
        <v>308</v>
      </c>
      <c r="BJ9" t="s">
        <v>309</v>
      </c>
      <c r="BK9" t="s">
        <v>310</v>
      </c>
      <c r="BL9" t="s">
        <v>225</v>
      </c>
      <c r="BM9" t="s">
        <v>154</v>
      </c>
      <c r="BN9" t="s">
        <v>155</v>
      </c>
      <c r="BO9" t="s">
        <v>156</v>
      </c>
      <c r="BP9" t="s">
        <v>157</v>
      </c>
      <c r="BQ9" t="s">
        <v>158</v>
      </c>
      <c r="BR9" t="s">
        <v>156</v>
      </c>
      <c r="BS9" t="s">
        <v>159</v>
      </c>
      <c r="BT9" t="s">
        <v>160</v>
      </c>
      <c r="BU9" t="s">
        <v>161</v>
      </c>
      <c r="BV9" t="s">
        <v>140</v>
      </c>
      <c r="BW9" t="s">
        <v>91</v>
      </c>
      <c r="BX9" t="s">
        <v>162</v>
      </c>
      <c r="BY9" t="s">
        <v>163</v>
      </c>
      <c r="BZ9" t="s">
        <v>91</v>
      </c>
      <c r="CA9" t="s">
        <v>164</v>
      </c>
      <c r="CB9" t="s">
        <v>165</v>
      </c>
      <c r="CC9" t="s">
        <v>166</v>
      </c>
    </row>
    <row r="10" spans="1:81" x14ac:dyDescent="0.2">
      <c r="A10" t="s">
        <v>311</v>
      </c>
      <c r="B10" t="s">
        <v>312</v>
      </c>
      <c r="C10" t="s">
        <v>110</v>
      </c>
      <c r="D10" t="s">
        <v>111</v>
      </c>
      <c r="E10" t="s">
        <v>112</v>
      </c>
      <c r="F10" t="s">
        <v>91</v>
      </c>
      <c r="G10" t="s">
        <v>476</v>
      </c>
      <c r="H10" t="s">
        <v>284</v>
      </c>
      <c r="I10" t="s">
        <v>168</v>
      </c>
      <c r="J10">
        <f t="shared" si="0"/>
        <v>-2.4024773729163482E-2</v>
      </c>
      <c r="K10">
        <f t="shared" si="1"/>
        <v>1.89768888</v>
      </c>
      <c r="L10">
        <f t="shared" si="2"/>
        <v>-2.4332827745251931E-2</v>
      </c>
      <c r="M10">
        <f t="shared" si="3"/>
        <v>-0.53360609741967913</v>
      </c>
      <c r="N10" t="s">
        <v>313</v>
      </c>
      <c r="O10" t="s">
        <v>314</v>
      </c>
      <c r="P10">
        <f t="shared" si="4"/>
        <v>3.6598230038841519</v>
      </c>
      <c r="Q10">
        <f t="shared" si="5"/>
        <v>2.1544810038841522</v>
      </c>
      <c r="R10" t="s">
        <v>315</v>
      </c>
      <c r="S10" t="s">
        <v>316</v>
      </c>
      <c r="T10">
        <f t="shared" si="6"/>
        <v>36.296965227453654</v>
      </c>
      <c r="U10">
        <f t="shared" si="7"/>
        <v>0.4417875</v>
      </c>
      <c r="V10" t="s">
        <v>118</v>
      </c>
      <c r="W10" t="s">
        <v>317</v>
      </c>
      <c r="X10" t="s">
        <v>318</v>
      </c>
      <c r="Y10" t="s">
        <v>319</v>
      </c>
      <c r="Z10" t="s">
        <v>320</v>
      </c>
      <c r="AA10">
        <f t="shared" si="8"/>
        <v>27.38</v>
      </c>
      <c r="AB10" t="s">
        <v>293</v>
      </c>
      <c r="AC10" t="s">
        <v>209</v>
      </c>
      <c r="AD10" t="s">
        <v>179</v>
      </c>
      <c r="AE10" t="s">
        <v>210</v>
      </c>
      <c r="AF10" t="s">
        <v>321</v>
      </c>
      <c r="AG10" t="s">
        <v>297</v>
      </c>
      <c r="AH10" t="s">
        <v>298</v>
      </c>
      <c r="AI10" t="s">
        <v>110</v>
      </c>
      <c r="AJ10" t="s">
        <v>299</v>
      </c>
      <c r="AK10" t="s">
        <v>300</v>
      </c>
      <c r="AL10" t="s">
        <v>130</v>
      </c>
      <c r="AM10" t="s">
        <v>130</v>
      </c>
      <c r="AN10" t="s">
        <v>242</v>
      </c>
      <c r="AO10" t="s">
        <v>301</v>
      </c>
      <c r="AP10" t="s">
        <v>184</v>
      </c>
      <c r="AQ10" t="s">
        <v>242</v>
      </c>
      <c r="AR10" t="s">
        <v>108</v>
      </c>
      <c r="AS10" t="s">
        <v>136</v>
      </c>
      <c r="AT10" t="s">
        <v>137</v>
      </c>
      <c r="AU10" t="s">
        <v>138</v>
      </c>
      <c r="AV10" t="s">
        <v>139</v>
      </c>
      <c r="AW10" t="s">
        <v>140</v>
      </c>
      <c r="AX10" t="s">
        <v>141</v>
      </c>
      <c r="AY10" t="s">
        <v>140</v>
      </c>
      <c r="AZ10" t="s">
        <v>140</v>
      </c>
      <c r="BA10" t="s">
        <v>142</v>
      </c>
      <c r="BB10" t="s">
        <v>143</v>
      </c>
      <c r="BC10" t="s">
        <v>322</v>
      </c>
      <c r="BD10" t="s">
        <v>323</v>
      </c>
      <c r="BE10" t="s">
        <v>324</v>
      </c>
      <c r="BF10" t="s">
        <v>325</v>
      </c>
      <c r="BG10" t="s">
        <v>326</v>
      </c>
      <c r="BH10" t="s">
        <v>327</v>
      </c>
      <c r="BI10" t="s">
        <v>328</v>
      </c>
      <c r="BJ10" t="s">
        <v>329</v>
      </c>
      <c r="BK10" t="s">
        <v>330</v>
      </c>
      <c r="BL10" t="s">
        <v>281</v>
      </c>
      <c r="BM10" t="s">
        <v>154</v>
      </c>
      <c r="BN10" t="s">
        <v>155</v>
      </c>
      <c r="BO10" t="s">
        <v>156</v>
      </c>
      <c r="BP10" t="s">
        <v>157</v>
      </c>
      <c r="BQ10" t="s">
        <v>158</v>
      </c>
      <c r="BR10" t="s">
        <v>156</v>
      </c>
      <c r="BS10" t="s">
        <v>159</v>
      </c>
      <c r="BT10" t="s">
        <v>160</v>
      </c>
      <c r="BU10" t="s">
        <v>161</v>
      </c>
      <c r="BV10" t="s">
        <v>140</v>
      </c>
      <c r="BW10" t="s">
        <v>91</v>
      </c>
      <c r="BX10" t="s">
        <v>162</v>
      </c>
      <c r="BY10" t="s">
        <v>163</v>
      </c>
      <c r="BZ10" t="s">
        <v>91</v>
      </c>
      <c r="CA10" t="s">
        <v>164</v>
      </c>
      <c r="CB10" t="s">
        <v>165</v>
      </c>
      <c r="CC10" t="s">
        <v>166</v>
      </c>
    </row>
    <row r="11" spans="1:81" x14ac:dyDescent="0.2">
      <c r="A11" t="s">
        <v>331</v>
      </c>
      <c r="B11" t="s">
        <v>332</v>
      </c>
      <c r="C11" t="s">
        <v>110</v>
      </c>
      <c r="D11" t="s">
        <v>111</v>
      </c>
      <c r="E11" t="s">
        <v>112</v>
      </c>
      <c r="F11" t="s">
        <v>91</v>
      </c>
      <c r="G11" t="s">
        <v>476</v>
      </c>
      <c r="H11" t="s">
        <v>333</v>
      </c>
      <c r="I11" t="s">
        <v>168</v>
      </c>
      <c r="J11">
        <f t="shared" si="0"/>
        <v>-3.5171925927840977E-2</v>
      </c>
      <c r="K11">
        <f t="shared" si="1"/>
        <v>1.89768888</v>
      </c>
      <c r="L11">
        <f t="shared" si="2"/>
        <v>-3.5836115518582068E-2</v>
      </c>
      <c r="M11">
        <f t="shared" si="3"/>
        <v>-0.53917863139535727</v>
      </c>
      <c r="N11" t="s">
        <v>334</v>
      </c>
      <c r="O11" t="s">
        <v>335</v>
      </c>
      <c r="P11">
        <f t="shared" si="4"/>
        <v>2.9788209816709079</v>
      </c>
      <c r="Q11">
        <f t="shared" si="5"/>
        <v>1.483618981670908</v>
      </c>
      <c r="R11" t="s">
        <v>336</v>
      </c>
      <c r="S11" t="s">
        <v>337</v>
      </c>
      <c r="T11">
        <f t="shared" si="6"/>
        <v>29.540073201813843</v>
      </c>
      <c r="U11">
        <f t="shared" si="7"/>
        <v>0.4417875</v>
      </c>
      <c r="V11" t="s">
        <v>118</v>
      </c>
      <c r="W11" t="s">
        <v>289</v>
      </c>
      <c r="X11" t="s">
        <v>338</v>
      </c>
      <c r="Y11" t="s">
        <v>339</v>
      </c>
      <c r="Z11" t="s">
        <v>340</v>
      </c>
      <c r="AA11">
        <f t="shared" si="8"/>
        <v>23.91</v>
      </c>
      <c r="AB11" t="s">
        <v>341</v>
      </c>
      <c r="AC11" t="s">
        <v>209</v>
      </c>
      <c r="AD11" t="s">
        <v>342</v>
      </c>
      <c r="AE11" t="s">
        <v>343</v>
      </c>
      <c r="AF11" t="s">
        <v>344</v>
      </c>
      <c r="AG11" t="s">
        <v>297</v>
      </c>
      <c r="AH11" t="s">
        <v>298</v>
      </c>
      <c r="AI11" t="s">
        <v>110</v>
      </c>
      <c r="AJ11" t="s">
        <v>299</v>
      </c>
      <c r="AK11" t="s">
        <v>300</v>
      </c>
      <c r="AL11" t="s">
        <v>130</v>
      </c>
      <c r="AM11" t="s">
        <v>137</v>
      </c>
      <c r="AN11" t="s">
        <v>132</v>
      </c>
      <c r="AO11" t="s">
        <v>130</v>
      </c>
      <c r="AP11" t="s">
        <v>213</v>
      </c>
      <c r="AQ11" t="s">
        <v>345</v>
      </c>
      <c r="AR11" t="s">
        <v>108</v>
      </c>
      <c r="AS11" t="s">
        <v>136</v>
      </c>
      <c r="AT11" t="s">
        <v>137</v>
      </c>
      <c r="AU11" t="s">
        <v>138</v>
      </c>
      <c r="AV11" t="s">
        <v>139</v>
      </c>
      <c r="AW11" t="s">
        <v>140</v>
      </c>
      <c r="AX11" t="s">
        <v>141</v>
      </c>
      <c r="AY11" t="s">
        <v>140</v>
      </c>
      <c r="AZ11" t="s">
        <v>140</v>
      </c>
      <c r="BA11" t="s">
        <v>142</v>
      </c>
      <c r="BB11" t="s">
        <v>143</v>
      </c>
      <c r="BC11" t="s">
        <v>346</v>
      </c>
      <c r="BD11" t="s">
        <v>347</v>
      </c>
      <c r="BE11" t="s">
        <v>348</v>
      </c>
      <c r="BF11" t="s">
        <v>349</v>
      </c>
      <c r="BG11" t="s">
        <v>350</v>
      </c>
      <c r="BH11" t="s">
        <v>351</v>
      </c>
      <c r="BI11" t="s">
        <v>352</v>
      </c>
      <c r="BJ11" t="s">
        <v>353</v>
      </c>
      <c r="BK11" t="s">
        <v>354</v>
      </c>
      <c r="BL11" t="s">
        <v>225</v>
      </c>
      <c r="BM11" t="s">
        <v>154</v>
      </c>
      <c r="BN11" t="s">
        <v>155</v>
      </c>
      <c r="BO11" t="s">
        <v>156</v>
      </c>
      <c r="BP11" t="s">
        <v>157</v>
      </c>
      <c r="BQ11" t="s">
        <v>158</v>
      </c>
      <c r="BR11" t="s">
        <v>156</v>
      </c>
      <c r="BS11" t="s">
        <v>159</v>
      </c>
      <c r="BT11" t="s">
        <v>160</v>
      </c>
      <c r="BU11" t="s">
        <v>161</v>
      </c>
      <c r="BV11" t="s">
        <v>140</v>
      </c>
      <c r="BW11" t="s">
        <v>91</v>
      </c>
      <c r="BX11" t="s">
        <v>162</v>
      </c>
      <c r="BY11" t="s">
        <v>163</v>
      </c>
      <c r="BZ11" t="s">
        <v>91</v>
      </c>
      <c r="CA11" t="s">
        <v>164</v>
      </c>
      <c r="CB11" t="s">
        <v>165</v>
      </c>
      <c r="CC11" t="s">
        <v>166</v>
      </c>
    </row>
    <row r="12" spans="1:81" x14ac:dyDescent="0.2">
      <c r="A12" t="s">
        <v>355</v>
      </c>
      <c r="B12" t="s">
        <v>356</v>
      </c>
      <c r="C12" t="s">
        <v>110</v>
      </c>
      <c r="D12" t="s">
        <v>111</v>
      </c>
      <c r="E12" t="s">
        <v>112</v>
      </c>
      <c r="F12" t="s">
        <v>91</v>
      </c>
      <c r="G12" t="s">
        <v>476</v>
      </c>
      <c r="H12" t="s">
        <v>333</v>
      </c>
      <c r="I12" t="s">
        <v>200</v>
      </c>
      <c r="J12">
        <f t="shared" si="0"/>
        <v>-2.6455357103552405E-2</v>
      </c>
      <c r="K12">
        <f t="shared" si="1"/>
        <v>1.8940079999999999</v>
      </c>
      <c r="L12">
        <f t="shared" si="2"/>
        <v>-2.683011811612071E-2</v>
      </c>
      <c r="M12">
        <f t="shared" si="3"/>
        <v>-0.45935359771214529</v>
      </c>
      <c r="N12" t="s">
        <v>357</v>
      </c>
      <c r="O12" t="s">
        <v>358</v>
      </c>
      <c r="P12">
        <f t="shared" si="4"/>
        <v>3.1910695525482975</v>
      </c>
      <c r="Q12">
        <f t="shared" si="5"/>
        <v>1.6862345525482976</v>
      </c>
      <c r="R12" t="s">
        <v>359</v>
      </c>
      <c r="S12" t="s">
        <v>360</v>
      </c>
      <c r="T12">
        <f t="shared" si="6"/>
        <v>31.644878545699097</v>
      </c>
      <c r="U12">
        <f t="shared" si="7"/>
        <v>0.4417875</v>
      </c>
      <c r="V12" t="s">
        <v>118</v>
      </c>
      <c r="W12" t="s">
        <v>361</v>
      </c>
      <c r="X12" t="s">
        <v>362</v>
      </c>
      <c r="Y12" t="s">
        <v>363</v>
      </c>
      <c r="Z12" t="s">
        <v>364</v>
      </c>
      <c r="AA12">
        <f t="shared" si="8"/>
        <v>25.06</v>
      </c>
      <c r="AB12" t="s">
        <v>341</v>
      </c>
      <c r="AC12" t="s">
        <v>365</v>
      </c>
      <c r="AD12" t="s">
        <v>366</v>
      </c>
      <c r="AE12" t="s">
        <v>367</v>
      </c>
      <c r="AF12" t="s">
        <v>368</v>
      </c>
      <c r="AG12" t="s">
        <v>369</v>
      </c>
      <c r="AH12" t="s">
        <v>298</v>
      </c>
      <c r="AI12" t="s">
        <v>110</v>
      </c>
      <c r="AJ12" t="s">
        <v>299</v>
      </c>
      <c r="AK12" t="s">
        <v>300</v>
      </c>
      <c r="AL12" t="s">
        <v>301</v>
      </c>
      <c r="AM12" t="s">
        <v>301</v>
      </c>
      <c r="AN12" t="s">
        <v>242</v>
      </c>
      <c r="AO12" t="s">
        <v>213</v>
      </c>
      <c r="AP12" t="s">
        <v>213</v>
      </c>
      <c r="AQ12" t="s">
        <v>242</v>
      </c>
      <c r="AR12" t="s">
        <v>108</v>
      </c>
      <c r="AS12" t="s">
        <v>136</v>
      </c>
      <c r="AT12" t="s">
        <v>137</v>
      </c>
      <c r="AU12" t="s">
        <v>138</v>
      </c>
      <c r="AV12" t="s">
        <v>139</v>
      </c>
      <c r="AW12" t="s">
        <v>140</v>
      </c>
      <c r="AX12" t="s">
        <v>141</v>
      </c>
      <c r="AY12" t="s">
        <v>140</v>
      </c>
      <c r="AZ12" t="s">
        <v>140</v>
      </c>
      <c r="BA12" t="s">
        <v>142</v>
      </c>
      <c r="BB12" t="s">
        <v>143</v>
      </c>
      <c r="BC12" t="s">
        <v>370</v>
      </c>
      <c r="BD12" t="s">
        <v>371</v>
      </c>
      <c r="BE12" t="s">
        <v>372</v>
      </c>
      <c r="BF12" t="s">
        <v>373</v>
      </c>
      <c r="BG12" t="s">
        <v>374</v>
      </c>
      <c r="BH12" t="s">
        <v>375</v>
      </c>
      <c r="BI12" t="s">
        <v>376</v>
      </c>
      <c r="BJ12" t="s">
        <v>377</v>
      </c>
      <c r="BK12" t="s">
        <v>378</v>
      </c>
      <c r="BL12" t="s">
        <v>197</v>
      </c>
      <c r="BM12" t="s">
        <v>154</v>
      </c>
      <c r="BN12" t="s">
        <v>155</v>
      </c>
      <c r="BO12" t="s">
        <v>156</v>
      </c>
      <c r="BP12" t="s">
        <v>157</v>
      </c>
      <c r="BQ12" t="s">
        <v>158</v>
      </c>
      <c r="BR12" t="s">
        <v>156</v>
      </c>
      <c r="BS12" t="s">
        <v>159</v>
      </c>
      <c r="BT12" t="s">
        <v>160</v>
      </c>
      <c r="BU12" t="s">
        <v>161</v>
      </c>
      <c r="BV12" t="s">
        <v>140</v>
      </c>
      <c r="BW12" t="s">
        <v>91</v>
      </c>
      <c r="BX12" t="s">
        <v>162</v>
      </c>
      <c r="BY12" t="s">
        <v>163</v>
      </c>
      <c r="BZ12" t="s">
        <v>91</v>
      </c>
      <c r="CA12" t="s">
        <v>164</v>
      </c>
      <c r="CB12" t="s">
        <v>165</v>
      </c>
      <c r="CC12" t="s">
        <v>166</v>
      </c>
    </row>
    <row r="13" spans="1:81" x14ac:dyDescent="0.2">
      <c r="A13" t="s">
        <v>379</v>
      </c>
      <c r="B13" t="s">
        <v>380</v>
      </c>
      <c r="C13" t="s">
        <v>110</v>
      </c>
      <c r="D13" t="s">
        <v>111</v>
      </c>
      <c r="E13" t="s">
        <v>112</v>
      </c>
      <c r="F13" t="s">
        <v>91</v>
      </c>
      <c r="G13" t="s">
        <v>476</v>
      </c>
      <c r="H13" t="s">
        <v>381</v>
      </c>
      <c r="I13" t="s">
        <v>168</v>
      </c>
      <c r="J13">
        <f t="shared" si="0"/>
        <v>-3.5890730553492366E-2</v>
      </c>
      <c r="K13">
        <f t="shared" si="1"/>
        <v>1.9032</v>
      </c>
      <c r="L13">
        <f t="shared" si="2"/>
        <v>-3.658057050702359E-2</v>
      </c>
      <c r="M13">
        <f t="shared" si="3"/>
        <v>-0.57060704433164622</v>
      </c>
      <c r="N13" t="s">
        <v>382</v>
      </c>
      <c r="O13" t="s">
        <v>383</v>
      </c>
      <c r="P13">
        <f t="shared" si="4"/>
        <v>3.0402478496157066</v>
      </c>
      <c r="Q13">
        <f t="shared" si="5"/>
        <v>1.5378488496157066</v>
      </c>
      <c r="R13" t="s">
        <v>384</v>
      </c>
      <c r="S13" t="s">
        <v>385</v>
      </c>
      <c r="T13">
        <f t="shared" si="6"/>
        <v>30.143246575606849</v>
      </c>
      <c r="U13">
        <f t="shared" si="7"/>
        <v>0.4417875</v>
      </c>
      <c r="V13" t="s">
        <v>118</v>
      </c>
      <c r="W13" t="s">
        <v>386</v>
      </c>
      <c r="X13" t="s">
        <v>387</v>
      </c>
      <c r="Y13" t="s">
        <v>388</v>
      </c>
      <c r="Z13" t="s">
        <v>389</v>
      </c>
      <c r="AA13">
        <f t="shared" si="8"/>
        <v>24.25</v>
      </c>
      <c r="AB13" t="s">
        <v>390</v>
      </c>
      <c r="AC13" t="s">
        <v>265</v>
      </c>
      <c r="AD13" t="s">
        <v>391</v>
      </c>
      <c r="AE13" t="s">
        <v>392</v>
      </c>
      <c r="AF13" t="s">
        <v>393</v>
      </c>
      <c r="AG13" t="s">
        <v>369</v>
      </c>
      <c r="AH13" t="s">
        <v>298</v>
      </c>
      <c r="AI13" t="s">
        <v>110</v>
      </c>
      <c r="AJ13" t="s">
        <v>299</v>
      </c>
      <c r="AK13" t="s">
        <v>300</v>
      </c>
      <c r="AL13" t="s">
        <v>130</v>
      </c>
      <c r="AM13" t="s">
        <v>301</v>
      </c>
      <c r="AN13" t="s">
        <v>242</v>
      </c>
      <c r="AO13" t="s">
        <v>394</v>
      </c>
      <c r="AP13" t="s">
        <v>395</v>
      </c>
      <c r="AQ13" t="s">
        <v>242</v>
      </c>
      <c r="AR13" t="s">
        <v>108</v>
      </c>
      <c r="AS13" t="s">
        <v>136</v>
      </c>
      <c r="AT13" t="s">
        <v>137</v>
      </c>
      <c r="AU13" t="s">
        <v>138</v>
      </c>
      <c r="AV13" t="s">
        <v>139</v>
      </c>
      <c r="AW13" t="s">
        <v>140</v>
      </c>
      <c r="AX13" t="s">
        <v>141</v>
      </c>
      <c r="AY13" t="s">
        <v>140</v>
      </c>
      <c r="AZ13" t="s">
        <v>140</v>
      </c>
      <c r="BA13" t="s">
        <v>142</v>
      </c>
      <c r="BB13" t="s">
        <v>143</v>
      </c>
      <c r="BC13" t="s">
        <v>396</v>
      </c>
      <c r="BD13" t="s">
        <v>397</v>
      </c>
      <c r="BE13" t="s">
        <v>398</v>
      </c>
      <c r="BF13" t="s">
        <v>399</v>
      </c>
      <c r="BG13" t="s">
        <v>400</v>
      </c>
      <c r="BH13" t="s">
        <v>401</v>
      </c>
      <c r="BI13" t="s">
        <v>402</v>
      </c>
      <c r="BJ13" t="s">
        <v>403</v>
      </c>
      <c r="BK13" t="s">
        <v>404</v>
      </c>
      <c r="BL13" t="s">
        <v>225</v>
      </c>
      <c r="BM13" t="s">
        <v>154</v>
      </c>
      <c r="BN13" t="s">
        <v>155</v>
      </c>
      <c r="BO13" t="s">
        <v>156</v>
      </c>
      <c r="BP13" t="s">
        <v>157</v>
      </c>
      <c r="BQ13" t="s">
        <v>158</v>
      </c>
      <c r="BR13" t="s">
        <v>156</v>
      </c>
      <c r="BS13" t="s">
        <v>159</v>
      </c>
      <c r="BT13" t="s">
        <v>160</v>
      </c>
      <c r="BU13" t="s">
        <v>161</v>
      </c>
      <c r="BV13" t="s">
        <v>140</v>
      </c>
      <c r="BW13" t="s">
        <v>91</v>
      </c>
      <c r="BX13" t="s">
        <v>162</v>
      </c>
      <c r="BY13" t="s">
        <v>163</v>
      </c>
      <c r="BZ13" t="s">
        <v>91</v>
      </c>
      <c r="CA13" t="s">
        <v>164</v>
      </c>
      <c r="CB13" t="s">
        <v>165</v>
      </c>
      <c r="CC13" t="s">
        <v>166</v>
      </c>
    </row>
    <row r="14" spans="1:81" x14ac:dyDescent="0.2">
      <c r="A14" t="s">
        <v>405</v>
      </c>
      <c r="B14" t="s">
        <v>406</v>
      </c>
      <c r="C14" t="s">
        <v>110</v>
      </c>
      <c r="D14" t="s">
        <v>111</v>
      </c>
      <c r="E14" t="s">
        <v>112</v>
      </c>
      <c r="F14" t="s">
        <v>91</v>
      </c>
      <c r="G14" t="s">
        <v>476</v>
      </c>
      <c r="H14" t="s">
        <v>381</v>
      </c>
      <c r="I14" t="s">
        <v>200</v>
      </c>
      <c r="J14">
        <f t="shared" si="0"/>
        <v>-2.9649581314050193E-2</v>
      </c>
      <c r="K14">
        <f t="shared" si="1"/>
        <v>1.89768888</v>
      </c>
      <c r="L14">
        <f t="shared" si="2"/>
        <v>-3.0120180445833377E-2</v>
      </c>
      <c r="M14">
        <f t="shared" si="3"/>
        <v>-0.47538473968677364</v>
      </c>
      <c r="N14" t="s">
        <v>407</v>
      </c>
      <c r="O14" t="s">
        <v>408</v>
      </c>
      <c r="P14">
        <f t="shared" si="4"/>
        <v>3.0603569219392952</v>
      </c>
      <c r="Q14">
        <f t="shared" si="5"/>
        <v>1.5560319219392953</v>
      </c>
      <c r="R14" t="s">
        <v>409</v>
      </c>
      <c r="S14" t="s">
        <v>410</v>
      </c>
      <c r="T14">
        <f t="shared" si="6"/>
        <v>30.339614572611232</v>
      </c>
      <c r="U14">
        <f t="shared" si="7"/>
        <v>0.4417875</v>
      </c>
      <c r="V14" t="s">
        <v>118</v>
      </c>
      <c r="W14" t="s">
        <v>411</v>
      </c>
      <c r="X14" t="s">
        <v>412</v>
      </c>
      <c r="Y14" t="s">
        <v>413</v>
      </c>
      <c r="Z14" t="s">
        <v>414</v>
      </c>
      <c r="AA14">
        <f t="shared" si="8"/>
        <v>24.36</v>
      </c>
      <c r="AB14" t="s">
        <v>415</v>
      </c>
      <c r="AC14" t="s">
        <v>209</v>
      </c>
      <c r="AD14" t="s">
        <v>294</v>
      </c>
      <c r="AE14" t="s">
        <v>416</v>
      </c>
      <c r="AF14" t="s">
        <v>393</v>
      </c>
      <c r="AG14" t="s">
        <v>417</v>
      </c>
      <c r="AH14" t="s">
        <v>298</v>
      </c>
      <c r="AI14" t="s">
        <v>110</v>
      </c>
      <c r="AJ14" t="s">
        <v>299</v>
      </c>
      <c r="AK14" t="s">
        <v>300</v>
      </c>
      <c r="AL14" t="s">
        <v>137</v>
      </c>
      <c r="AM14" t="s">
        <v>137</v>
      </c>
      <c r="AN14" t="s">
        <v>242</v>
      </c>
      <c r="AO14" t="s">
        <v>131</v>
      </c>
      <c r="AP14" t="s">
        <v>137</v>
      </c>
      <c r="AQ14" t="s">
        <v>242</v>
      </c>
      <c r="AR14" t="s">
        <v>108</v>
      </c>
      <c r="AS14" t="s">
        <v>136</v>
      </c>
      <c r="AT14" t="s">
        <v>137</v>
      </c>
      <c r="AU14" t="s">
        <v>138</v>
      </c>
      <c r="AV14" t="s">
        <v>139</v>
      </c>
      <c r="AW14" t="s">
        <v>140</v>
      </c>
      <c r="AX14" t="s">
        <v>141</v>
      </c>
      <c r="AY14" t="s">
        <v>140</v>
      </c>
      <c r="AZ14" t="s">
        <v>140</v>
      </c>
      <c r="BA14" t="s">
        <v>142</v>
      </c>
      <c r="BB14" t="s">
        <v>143</v>
      </c>
      <c r="BC14" t="s">
        <v>418</v>
      </c>
      <c r="BD14" t="s">
        <v>419</v>
      </c>
      <c r="BE14" t="s">
        <v>420</v>
      </c>
      <c r="BF14" t="s">
        <v>421</v>
      </c>
      <c r="BG14" t="s">
        <v>422</v>
      </c>
      <c r="BH14" t="s">
        <v>423</v>
      </c>
      <c r="BI14" t="s">
        <v>424</v>
      </c>
      <c r="BJ14" t="s">
        <v>425</v>
      </c>
      <c r="BK14" t="s">
        <v>426</v>
      </c>
      <c r="BL14" t="s">
        <v>225</v>
      </c>
      <c r="BM14" t="s">
        <v>154</v>
      </c>
      <c r="BN14" t="s">
        <v>155</v>
      </c>
      <c r="BO14" t="s">
        <v>156</v>
      </c>
      <c r="BP14" t="s">
        <v>157</v>
      </c>
      <c r="BQ14" t="s">
        <v>158</v>
      </c>
      <c r="BR14" t="s">
        <v>156</v>
      </c>
      <c r="BS14" t="s">
        <v>159</v>
      </c>
      <c r="BT14" t="s">
        <v>160</v>
      </c>
      <c r="BU14" t="s">
        <v>161</v>
      </c>
      <c r="BV14" t="s">
        <v>140</v>
      </c>
      <c r="BW14" t="s">
        <v>91</v>
      </c>
      <c r="BX14" t="s">
        <v>162</v>
      </c>
      <c r="BY14" t="s">
        <v>163</v>
      </c>
      <c r="BZ14" t="s">
        <v>91</v>
      </c>
      <c r="CA14" t="s">
        <v>164</v>
      </c>
      <c r="CB14" t="s">
        <v>165</v>
      </c>
      <c r="CC14" t="s">
        <v>166</v>
      </c>
    </row>
    <row r="15" spans="1:81" x14ac:dyDescent="0.2">
      <c r="A15" t="s">
        <v>427</v>
      </c>
      <c r="B15" t="s">
        <v>428</v>
      </c>
      <c r="C15" t="s">
        <v>110</v>
      </c>
      <c r="D15" t="s">
        <v>111</v>
      </c>
      <c r="E15" t="s">
        <v>112</v>
      </c>
      <c r="F15" t="s">
        <v>91</v>
      </c>
      <c r="G15" t="s">
        <v>476</v>
      </c>
      <c r="H15" t="s">
        <v>429</v>
      </c>
      <c r="I15" t="s">
        <v>168</v>
      </c>
      <c r="J15">
        <f t="shared" si="0"/>
        <v>8.6311832797556073E-4</v>
      </c>
      <c r="K15">
        <f t="shared" si="1"/>
        <v>1.9032</v>
      </c>
      <c r="L15">
        <f t="shared" si="2"/>
        <v>8.62727073483566E-4</v>
      </c>
      <c r="M15">
        <f t="shared" si="3"/>
        <v>1.2233324023863682E-2</v>
      </c>
      <c r="N15" t="s">
        <v>430</v>
      </c>
      <c r="O15" t="s">
        <v>431</v>
      </c>
      <c r="P15">
        <f t="shared" si="4"/>
        <v>2.900940021896115</v>
      </c>
      <c r="Q15">
        <f t="shared" si="5"/>
        <v>1.3985370218961151</v>
      </c>
      <c r="R15" t="s">
        <v>432</v>
      </c>
      <c r="S15" t="s">
        <v>433</v>
      </c>
      <c r="T15">
        <f t="shared" si="6"/>
        <v>28.770604204067389</v>
      </c>
      <c r="U15">
        <f t="shared" si="7"/>
        <v>0.4417875</v>
      </c>
      <c r="V15" t="s">
        <v>118</v>
      </c>
      <c r="W15" t="s">
        <v>434</v>
      </c>
      <c r="X15" t="s">
        <v>435</v>
      </c>
      <c r="Y15" t="s">
        <v>436</v>
      </c>
      <c r="Z15" t="s">
        <v>437</v>
      </c>
      <c r="AA15">
        <f t="shared" si="8"/>
        <v>23.47</v>
      </c>
      <c r="AB15" t="s">
        <v>293</v>
      </c>
      <c r="AC15" t="s">
        <v>265</v>
      </c>
      <c r="AD15" t="s">
        <v>438</v>
      </c>
      <c r="AE15" t="s">
        <v>439</v>
      </c>
      <c r="AF15" t="s">
        <v>440</v>
      </c>
      <c r="AG15" t="s">
        <v>441</v>
      </c>
      <c r="AH15" t="s">
        <v>442</v>
      </c>
      <c r="AI15" t="s">
        <v>110</v>
      </c>
      <c r="AJ15" t="s">
        <v>443</v>
      </c>
      <c r="AK15" t="s">
        <v>108</v>
      </c>
      <c r="AL15" t="s">
        <v>301</v>
      </c>
      <c r="AM15" t="s">
        <v>301</v>
      </c>
      <c r="AN15" t="s">
        <v>132</v>
      </c>
      <c r="AO15" t="s">
        <v>137</v>
      </c>
      <c r="AP15" t="s">
        <v>213</v>
      </c>
      <c r="AQ15" t="s">
        <v>131</v>
      </c>
      <c r="AR15" t="s">
        <v>108</v>
      </c>
      <c r="AS15" t="s">
        <v>136</v>
      </c>
      <c r="AT15" t="s">
        <v>137</v>
      </c>
      <c r="AU15" t="s">
        <v>138</v>
      </c>
      <c r="AV15" t="s">
        <v>139</v>
      </c>
      <c r="AW15" t="s">
        <v>140</v>
      </c>
      <c r="AX15" t="s">
        <v>141</v>
      </c>
      <c r="AY15" t="s">
        <v>140</v>
      </c>
      <c r="AZ15" t="s">
        <v>140</v>
      </c>
      <c r="BA15" t="s">
        <v>142</v>
      </c>
      <c r="BB15" t="s">
        <v>143</v>
      </c>
      <c r="BC15" t="s">
        <v>444</v>
      </c>
      <c r="BD15" t="s">
        <v>445</v>
      </c>
      <c r="BE15" t="s">
        <v>446</v>
      </c>
      <c r="BF15" t="s">
        <v>447</v>
      </c>
      <c r="BG15" t="s">
        <v>448</v>
      </c>
      <c r="BH15" t="s">
        <v>449</v>
      </c>
      <c r="BI15" t="s">
        <v>450</v>
      </c>
      <c r="BJ15" t="s">
        <v>451</v>
      </c>
      <c r="BK15" t="s">
        <v>452</v>
      </c>
      <c r="BL15" t="s">
        <v>453</v>
      </c>
      <c r="BM15" t="s">
        <v>154</v>
      </c>
      <c r="BN15" t="s">
        <v>155</v>
      </c>
      <c r="BO15" t="s">
        <v>156</v>
      </c>
      <c r="BP15" t="s">
        <v>157</v>
      </c>
      <c r="BQ15" t="s">
        <v>158</v>
      </c>
      <c r="BR15" t="s">
        <v>156</v>
      </c>
      <c r="BS15" t="s">
        <v>159</v>
      </c>
      <c r="BT15" t="s">
        <v>160</v>
      </c>
      <c r="BU15" t="s">
        <v>161</v>
      </c>
      <c r="BV15" t="s">
        <v>140</v>
      </c>
      <c r="BW15" t="s">
        <v>91</v>
      </c>
      <c r="BX15" t="s">
        <v>162</v>
      </c>
      <c r="BY15" t="s">
        <v>163</v>
      </c>
      <c r="BZ15" t="s">
        <v>91</v>
      </c>
      <c r="CA15" t="s">
        <v>164</v>
      </c>
      <c r="CB15" t="s">
        <v>165</v>
      </c>
      <c r="CC15" t="s">
        <v>166</v>
      </c>
    </row>
    <row r="16" spans="1:81" x14ac:dyDescent="0.2">
      <c r="A16" t="s">
        <v>454</v>
      </c>
      <c r="B16" t="s">
        <v>455</v>
      </c>
      <c r="C16" t="s">
        <v>110</v>
      </c>
      <c r="D16" t="s">
        <v>111</v>
      </c>
      <c r="E16" t="s">
        <v>112</v>
      </c>
      <c r="F16" t="s">
        <v>91</v>
      </c>
      <c r="G16" t="s">
        <v>476</v>
      </c>
      <c r="H16" t="s">
        <v>429</v>
      </c>
      <c r="I16" t="s">
        <v>200</v>
      </c>
      <c r="J16">
        <f t="shared" si="0"/>
        <v>5.2841998590731631E-3</v>
      </c>
      <c r="K16">
        <f t="shared" si="1"/>
        <v>1.89768888</v>
      </c>
      <c r="L16">
        <f t="shared" si="2"/>
        <v>5.2695266256752964E-3</v>
      </c>
      <c r="M16">
        <f t="shared" si="3"/>
        <v>6.8928010146264415E-2</v>
      </c>
      <c r="N16" t="s">
        <v>456</v>
      </c>
      <c r="O16" t="s">
        <v>457</v>
      </c>
      <c r="P16">
        <f t="shared" si="4"/>
        <v>2.7942232141333001</v>
      </c>
      <c r="Q16">
        <f t="shared" si="5"/>
        <v>1.2907542141333002</v>
      </c>
      <c r="R16" t="s">
        <v>458</v>
      </c>
      <c r="S16" t="s">
        <v>459</v>
      </c>
      <c r="T16">
        <f t="shared" si="6"/>
        <v>27.712220709444608</v>
      </c>
      <c r="U16">
        <f t="shared" si="7"/>
        <v>0.4417875</v>
      </c>
      <c r="V16" t="s">
        <v>118</v>
      </c>
      <c r="W16" t="s">
        <v>434</v>
      </c>
      <c r="X16" t="s">
        <v>460</v>
      </c>
      <c r="Y16" t="s">
        <v>461</v>
      </c>
      <c r="Z16" t="s">
        <v>462</v>
      </c>
      <c r="AA16">
        <f t="shared" si="8"/>
        <v>22.85</v>
      </c>
      <c r="AB16" t="s">
        <v>293</v>
      </c>
      <c r="AC16" t="s">
        <v>209</v>
      </c>
      <c r="AD16" t="s">
        <v>125</v>
      </c>
      <c r="AE16" t="s">
        <v>463</v>
      </c>
      <c r="AF16" t="s">
        <v>464</v>
      </c>
      <c r="AG16" t="s">
        <v>465</v>
      </c>
      <c r="AH16" t="s">
        <v>442</v>
      </c>
      <c r="AI16" t="s">
        <v>110</v>
      </c>
      <c r="AJ16" t="s">
        <v>443</v>
      </c>
      <c r="AK16" t="s">
        <v>108</v>
      </c>
      <c r="AL16" t="s">
        <v>301</v>
      </c>
      <c r="AM16" t="s">
        <v>301</v>
      </c>
      <c r="AN16" t="s">
        <v>242</v>
      </c>
      <c r="AO16" t="s">
        <v>130</v>
      </c>
      <c r="AP16" t="s">
        <v>131</v>
      </c>
      <c r="AQ16" t="s">
        <v>242</v>
      </c>
      <c r="AR16" t="s">
        <v>108</v>
      </c>
      <c r="AS16" t="s">
        <v>136</v>
      </c>
      <c r="AT16" t="s">
        <v>137</v>
      </c>
      <c r="AU16" t="s">
        <v>138</v>
      </c>
      <c r="AV16" t="s">
        <v>139</v>
      </c>
      <c r="AW16" t="s">
        <v>140</v>
      </c>
      <c r="AX16" t="s">
        <v>141</v>
      </c>
      <c r="AY16" t="s">
        <v>140</v>
      </c>
      <c r="AZ16" t="s">
        <v>140</v>
      </c>
      <c r="BA16" t="s">
        <v>142</v>
      </c>
      <c r="BB16" t="s">
        <v>143</v>
      </c>
      <c r="BC16" t="s">
        <v>466</v>
      </c>
      <c r="BD16" t="s">
        <v>467</v>
      </c>
      <c r="BE16" t="s">
        <v>468</v>
      </c>
      <c r="BF16" t="s">
        <v>469</v>
      </c>
      <c r="BG16" t="s">
        <v>470</v>
      </c>
      <c r="BH16" t="s">
        <v>471</v>
      </c>
      <c r="BI16" t="s">
        <v>472</v>
      </c>
      <c r="BJ16" t="s">
        <v>473</v>
      </c>
      <c r="BK16" t="s">
        <v>474</v>
      </c>
      <c r="BL16" t="s">
        <v>475</v>
      </c>
      <c r="BM16" t="s">
        <v>154</v>
      </c>
      <c r="BN16" t="s">
        <v>155</v>
      </c>
      <c r="BO16" t="s">
        <v>156</v>
      </c>
      <c r="BP16" t="s">
        <v>157</v>
      </c>
      <c r="BQ16" t="s">
        <v>158</v>
      </c>
      <c r="BR16" t="s">
        <v>156</v>
      </c>
      <c r="BS16" t="s">
        <v>159</v>
      </c>
      <c r="BT16" t="s">
        <v>160</v>
      </c>
      <c r="BU16" t="s">
        <v>161</v>
      </c>
      <c r="BV16" t="s">
        <v>140</v>
      </c>
      <c r="BW16" t="s">
        <v>91</v>
      </c>
      <c r="BX16" t="s">
        <v>162</v>
      </c>
      <c r="BY16" t="s">
        <v>163</v>
      </c>
      <c r="BZ16" t="s">
        <v>91</v>
      </c>
      <c r="CA16" t="s">
        <v>164</v>
      </c>
      <c r="CB16" t="s">
        <v>165</v>
      </c>
      <c r="CC16" t="s">
        <v>166</v>
      </c>
    </row>
  </sheetData>
  <pageMargins left="0.7" right="0.7" top="0.75" bottom="0.75" header="0.3" footer="0.3"/>
  <ignoredErrors>
    <ignoredError sqref="A1:CC3 A5:F16 A4:F4 H4:CC4 H5:CC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Petal_2025_low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Gretchen Le Buhn</cp:lastModifiedBy>
  <dcterms:modified xsi:type="dcterms:W3CDTF">2025-09-13T00:18:18Z</dcterms:modified>
</cp:coreProperties>
</file>